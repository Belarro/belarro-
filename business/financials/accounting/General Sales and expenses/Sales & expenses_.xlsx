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" sheetId="1" r:id="rId5"/>
    <sheet state="visible" name="Expences " sheetId="2" r:id="rId6"/>
    <sheet state="visible" name="Service Provider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invoice RE-202411-0017
</t>
      </text>
    </comment>
    <comment authorId="0" ref="G4">
      <text>
        <t xml:space="preserve">invoice RE-202411-0018
</t>
      </text>
    </comment>
    <comment authorId="0" ref="H4">
      <text>
        <t xml:space="preserve">invoice RE-202411-0019
</t>
      </text>
    </comment>
    <comment authorId="0" ref="F5">
      <text>
        <t xml:space="preserve">invoice RE-202411-0016
</t>
      </text>
    </comment>
    <comment authorId="0" ref="J6">
      <text>
        <t xml:space="preserve">invoice RE-202410-0010
</t>
      </text>
    </comment>
    <comment authorId="0" ref="K6">
      <text>
        <t xml:space="preserve">invoice RE-202411-0015
</t>
      </text>
    </comment>
    <comment authorId="0" ref="L6">
      <text>
        <t xml:space="preserve">invoice RE-202412-0020
</t>
      </text>
    </comment>
    <comment authorId="0" ref="M6">
      <text>
        <t xml:space="preserve">invoice RE-202501-0026
</t>
      </text>
    </comment>
    <comment authorId="0" ref="J7">
      <text>
        <t xml:space="preserve">invoice RE-202410-0011
</t>
      </text>
    </comment>
    <comment authorId="0" ref="K7">
      <text>
        <t xml:space="preserve">invoice RE-202411-0014
</t>
      </text>
    </comment>
    <comment authorId="0" ref="L7">
      <text>
        <t xml:space="preserve">invoice RE-202412-0021
</t>
      </text>
    </comment>
    <comment authorId="0" ref="M7">
      <text>
        <t xml:space="preserve">invoice RE-202501-0025
</t>
      </text>
    </comment>
    <comment authorId="0" ref="H8">
      <text>
        <t xml:space="preserve">invoice RE-202409-0006
</t>
      </text>
    </comment>
    <comment authorId="0" ref="I8">
      <text>
        <t xml:space="preserve">invoice RE-202409-0008
</t>
      </text>
    </comment>
    <comment authorId="0" ref="J8">
      <text>
        <t xml:space="preserve">invoice RE-202409-0009
</t>
      </text>
    </comment>
    <comment authorId="0" ref="K8">
      <text>
        <t xml:space="preserve">invoice RE-202411-0013
</t>
      </text>
    </comment>
    <comment authorId="0" ref="L8">
      <text>
        <t xml:space="preserve">invoice RE-202412-0024
</t>
      </text>
    </comment>
    <comment authorId="0" ref="I9">
      <text>
        <t xml:space="preserve">invoice RE-202409-0007
</t>
      </text>
    </comment>
    <comment authorId="0" ref="L9">
      <text>
        <t xml:space="preserve">invoice RE-202412-0023
</t>
      </text>
    </comment>
    <comment authorId="0" ref="M9">
      <text>
        <t xml:space="preserve">invoice RE-202501-0028
</t>
      </text>
    </comment>
    <comment authorId="0" ref="L10">
      <text>
        <t xml:space="preserve">invoice RE-202412-0022
</t>
      </text>
    </comment>
    <comment authorId="0" ref="M10">
      <text>
        <t xml:space="preserve">invoice RE-202501-0027
</t>
      </text>
    </comment>
    <comment authorId="0" ref="M11">
      <text>
        <t xml:space="preserve">bankrupt 
</t>
      </text>
    </comment>
    <comment authorId="0" ref="B20">
      <text>
        <t xml:space="preserve">invoice RE-202502-0029
</t>
      </text>
    </comment>
    <comment authorId="0" ref="C20">
      <text>
        <t xml:space="preserve">invoice RE-202504-0033
</t>
      </text>
    </comment>
    <comment authorId="0" ref="D20">
      <text>
        <t xml:space="preserve">invoice RE-202504-0034
</t>
      </text>
    </comment>
    <comment authorId="0" ref="B21">
      <text>
        <t xml:space="preserve">invoice RE-202502-0030
</t>
      </text>
    </comment>
    <comment authorId="0" ref="C21">
      <text>
        <t xml:space="preserve">invoice RE-202504-0035
</t>
      </text>
    </comment>
    <comment authorId="0" ref="D21">
      <text>
        <t xml:space="preserve">invoice RE-202504-0036
</t>
      </text>
    </comment>
    <comment authorId="0" ref="B22">
      <text>
        <t xml:space="preserve">invoice RE-202502-0032
</t>
      </text>
    </comment>
    <comment authorId="0" ref="B23">
      <text>
        <t xml:space="preserve">invoice RE-202502-0031
</t>
      </text>
    </comment>
    <comment authorId="0" ref="C23">
      <text>
        <t xml:space="preserve">invoice RE-202504-0037
</t>
      </text>
    </comment>
    <comment authorId="0" ref="D23">
      <text>
        <t xml:space="preserve">Invoice RE-202504-0038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4">
      <text>
        <t xml:space="preserve">Copy Planet
</t>
      </text>
    </comment>
    <comment authorId="0" ref="S7">
      <text>
        <t xml:space="preserve">WATTENFALL
</t>
      </text>
    </comment>
    <comment authorId="0" ref="U7">
      <text>
        <t xml:space="preserve">wattenfal 
</t>
      </text>
    </comment>
    <comment authorId="0" ref="V7">
      <text>
        <t xml:space="preserve">sueweg
</t>
      </text>
    </comment>
    <comment authorId="0" ref="W7">
      <text>
        <t xml:space="preserve">sueweg
</t>
      </text>
    </comment>
    <comment authorId="0" ref="X7">
      <text>
        <t xml:space="preserve">EWE
</t>
      </text>
    </comment>
    <comment authorId="0" ref="Y7">
      <text>
        <t xml:space="preserve">EWE
</t>
      </text>
    </comment>
    <comment authorId="0" ref="Z7">
      <text>
        <t xml:space="preserve">EWE
</t>
      </text>
    </comment>
    <comment authorId="0" ref="AC7">
      <text>
        <t xml:space="preserve">EWE
</t>
      </text>
    </comment>
    <comment authorId="0" ref="AD7">
      <text>
        <t xml:space="preserve">EWE
</t>
      </text>
    </comment>
    <comment authorId="0" ref="AE7">
      <text>
        <t xml:space="preserve">EWE
</t>
      </text>
    </comment>
    <comment authorId="0" ref="AF7">
      <text>
        <t xml:space="preserve">EWE
</t>
      </text>
    </comment>
    <comment authorId="0" ref="AG7">
      <text>
        <t xml:space="preserve">EWE
</t>
      </text>
    </comment>
    <comment authorId="0" ref="AJ7">
      <text>
        <t xml:space="preserve">end of year adjustment + another month
</t>
      </text>
    </comment>
    <comment authorId="0" ref="S9">
      <text>
        <t xml:space="preserve">Gasag 
</t>
      </text>
    </comment>
    <comment authorId="0" ref="T9">
      <text>
        <t xml:space="preserve">sueweg
</t>
      </text>
    </comment>
    <comment authorId="0" ref="U9">
      <text>
        <t xml:space="preserve">sueweg
</t>
      </text>
    </comment>
    <comment authorId="0" ref="V9">
      <text>
        <t xml:space="preserve">sueweg
</t>
      </text>
    </comment>
    <comment authorId="0" ref="W9">
      <text>
        <t xml:space="preserve">sueweg
</t>
      </text>
    </comment>
    <comment authorId="0" ref="X9">
      <text>
        <t xml:space="preserve">sueweg
</t>
      </text>
    </comment>
    <comment authorId="0" ref="Y9">
      <text>
        <t xml:space="preserve">sueweg
</t>
      </text>
    </comment>
    <comment authorId="0" ref="Z9">
      <text>
        <t xml:space="preserve">sueweg
</t>
      </text>
    </comment>
    <comment authorId="0" ref="AC9">
      <text>
        <t xml:space="preserve">sueweg
</t>
      </text>
    </comment>
    <comment authorId="0" ref="AD9">
      <text>
        <t xml:space="preserve">Suewag
</t>
      </text>
    </comment>
    <comment authorId="0" ref="AE9">
      <text>
        <t xml:space="preserve">Suewag
</t>
      </text>
    </comment>
    <comment authorId="0" ref="AF9">
      <text>
        <t xml:space="preserve">Suewag
</t>
      </text>
    </comment>
    <comment authorId="0" ref="AG9">
      <text>
        <t xml:space="preserve">Suewag
</t>
      </text>
    </comment>
    <comment authorId="0" ref="W10">
      <text>
        <t xml:space="preserve">GASAG 4061121474473</t>
      </text>
    </comment>
    <comment authorId="0" ref="AD10">
      <text>
        <t xml:space="preserve">Suewag
</t>
      </text>
    </comment>
    <comment authorId="0" ref="V12">
      <text>
        <t xml:space="preserve">deposit</t>
      </text>
    </comment>
    <comment authorId="0" ref="P16">
      <text>
        <t xml:space="preserve">Stemps 
</t>
      </text>
    </comment>
    <comment authorId="0" ref="AL22">
      <text>
        <t xml:space="preserve">Passwords security
</t>
      </text>
    </comment>
    <comment authorId="0" ref="AJ28">
      <text>
        <t xml:space="preserve">novabauer domain
</t>
      </text>
    </comment>
    <comment authorId="0" ref="AK28">
      <text>
        <t xml:space="preserve">citfarm renaual </t>
      </text>
    </comment>
    <comment authorId="0" ref="AN28">
      <text>
        <t xml:space="preserve">Belarro domain
</t>
      </text>
    </comment>
    <comment authorId="0" ref="AG31">
      <text>
        <t xml:space="preserve">Window stickers </t>
      </text>
    </comment>
    <comment authorId="0" ref="AH31">
      <text>
        <t xml:space="preserve">FlyAlarm Book of stickers</t>
      </text>
    </comment>
    <comment authorId="0" ref="AG32">
      <text>
        <t xml:space="preserve">bizay </t>
      </text>
    </comment>
    <comment authorId="0" ref="R34">
      <text>
        <t xml:space="preserve">Notar </t>
      </text>
    </comment>
    <comment authorId="0" ref="S34">
      <text>
        <t xml:space="preserve">amtsgericht
</t>
      </text>
    </comment>
    <comment authorId="0" ref="T34">
      <text>
        <t xml:space="preserve">for Shears </t>
      </text>
    </comment>
    <comment authorId="0" ref="V34">
      <text>
        <t xml:space="preserve">bezirksamt pankow</t>
      </text>
    </comment>
    <comment authorId="0" ref="Y34">
      <text>
        <t xml:space="preserve">IHK Belin
</t>
      </text>
    </comment>
    <comment authorId="0" ref="V35">
      <text>
        <t xml:space="preserve">parking
</t>
      </text>
    </comment>
    <comment authorId="0" ref="AH40">
      <text>
        <t xml:space="preserve">soil</t>
      </text>
    </comment>
    <comment authorId="0" ref="AI40">
      <text>
        <t xml:space="preserve">full pail soil
</t>
      </text>
    </comment>
    <comment authorId="0" ref="I43">
      <text>
        <t xml:space="preserve">Italian Sprout 358
</t>
      </text>
    </comment>
    <comment authorId="0" ref="J43">
      <text>
        <t xml:space="preserve">italien sprout 397</t>
      </text>
    </comment>
    <comment authorId="0" ref="L43">
      <text>
        <t xml:space="preserve">Italian sprount 515</t>
      </text>
    </comment>
    <comment authorId="0" ref="R43">
      <text>
        <t xml:space="preserve">mp fv/b2b</t>
      </text>
    </comment>
    <comment authorId="0" ref="X43">
      <text>
        <t xml:space="preserve">MPseeds223/4
</t>
      </text>
    </comment>
    <comment authorId="0" ref="AC43">
      <text>
        <t xml:space="preserve">MPseeds
</t>
      </text>
    </comment>
    <comment authorId="0" ref="AF43">
      <text>
        <t xml:space="preserve">MP seeds
</t>
      </text>
    </comment>
    <comment authorId="0" ref="AI43">
      <text>
        <t xml:space="preserve">mp seeds</t>
      </text>
    </comment>
    <comment authorId="0" ref="AL43">
      <text>
        <t xml:space="preserve">seeds 23.10</t>
      </text>
    </comment>
    <comment authorId="0" ref="AP43">
      <text>
        <t xml:space="preserve">MP seeds 44/1/26</t>
      </text>
    </comment>
    <comment authorId="0" ref="I44">
      <text>
        <t xml:space="preserve">Polish 8/9</t>
      </text>
    </comment>
    <comment authorId="0" ref="J44">
      <text>
        <t xml:space="preserve">MP </t>
      </text>
    </comment>
    <comment authorId="0" ref="R44">
      <text>
        <t xml:space="preserve">3.4.24 MP seeds 
</t>
      </text>
    </comment>
    <comment authorId="0" ref="I45">
      <text>
        <t xml:space="preserve">mpseeds 7691</t>
      </text>
    </comment>
    <comment authorId="0" ref="V46">
      <text>
        <t xml:space="preserve">packing24
</t>
      </text>
    </comment>
    <comment authorId="0" ref="AJ46">
      <text>
        <t xml:space="preserve">750ml containers , paypal Cancled 
</t>
      </text>
    </comment>
    <comment authorId="0" ref="AK46">
      <text>
        <t xml:space="preserve">750 ml container NL 
</t>
      </text>
    </comment>
    <comment authorId="0" ref="AD47">
      <text>
        <t xml:space="preserve">PACKING24 105925
</t>
      </text>
    </comment>
    <comment authorId="0" ref="AK47">
      <text>
        <t xml:space="preserve">750ml container 236943</t>
      </text>
    </comment>
    <comment authorId="0" ref="AK48">
      <text>
        <t xml:space="preserve">242710</t>
      </text>
    </comment>
    <comment authorId="0" ref="AK49">
      <text>
        <t xml:space="preserve">2000ml containers</t>
      </text>
    </comment>
    <comment authorId="0" ref="AH50">
      <text>
        <t xml:space="preserve">Irland 45 units</t>
      </text>
    </comment>
    <comment authorId="0" ref="D51">
      <text>
        <t xml:space="preserve">Del-ko</t>
      </text>
    </comment>
    <comment authorId="0" ref="I51">
      <text>
        <t xml:space="preserve">DEL-KO D1145387
</t>
      </text>
    </comment>
    <comment authorId="0" ref="R51">
      <text>
        <t xml:space="preserve">lights</t>
      </text>
    </comment>
    <comment authorId="0" ref="K52">
      <text>
        <t xml:space="preserve">stickers</t>
      </text>
    </comment>
    <comment authorId="0" ref="L52">
      <text>
        <t xml:space="preserve">stickers
</t>
      </text>
    </comment>
    <comment authorId="0" ref="P52">
      <text>
        <t xml:space="preserve">pinguindruck 2037636`</t>
      </text>
    </comment>
    <comment authorId="0" ref="AH52">
      <text>
        <t xml:space="preserve">Stickers Book Test 
</t>
      </text>
    </comment>
    <comment authorId="0" ref="L53">
      <text>
        <t xml:space="preserve">stickers</t>
      </text>
    </comment>
    <comment authorId="0" ref="K54">
      <text>
        <t xml:space="preserve">stickers</t>
      </text>
    </comment>
    <comment authorId="0" ref="AH54">
      <text>
        <t xml:space="preserve">Bizar Sample </t>
      </text>
    </comment>
    <comment authorId="0" ref="AH56">
      <text>
        <t xml:space="preserve">Perolight  for testing 
</t>
      </text>
    </comment>
    <comment authorId="0" ref="AF57">
      <text>
        <t xml:space="preserve">Order O25-455887557328 peroxide
</t>
      </text>
    </comment>
    <comment authorId="0" ref="AH57">
      <text>
        <t xml:space="preserve">Plastic bags, gloves, cleaning
</t>
      </text>
    </comment>
    <comment authorId="0" ref="AJ57">
      <text>
        <t xml:space="preserve">3% HP</t>
      </text>
    </comment>
    <comment authorId="0" ref="AK57">
      <text>
        <t xml:space="preserve">Hydro</t>
      </text>
    </comment>
    <comment authorId="0" ref="AK58">
      <text>
        <t xml:space="preserve">hydro</t>
      </text>
    </comment>
    <comment authorId="0" ref="AJ60">
      <text>
        <t xml:space="preserve">Cleaning Alcohol </t>
      </text>
    </comment>
    <comment authorId="0" ref="AJ61">
      <text>
        <t xml:space="preserve">smart steckdose
</t>
      </text>
    </comment>
    <comment authorId="0" ref="F62">
      <text>
        <t xml:space="preserve">office </t>
      </text>
    </comment>
    <comment authorId="0" ref="H62">
      <text>
        <t xml:space="preserve">Humidity Dom 78.14 
</t>
      </text>
    </comment>
    <comment authorId="0" ref="K62">
      <text>
        <t xml:space="preserve">Digital Thermostate </t>
      </text>
    </comment>
    <comment authorId="0" ref="P62">
      <text>
        <t xml:space="preserve">thermometer</t>
      </text>
    </comment>
    <comment authorId="0" ref="R62">
      <text>
        <t xml:space="preserve">Electric plugs </t>
      </text>
    </comment>
    <comment authorId="0" ref="AF62">
      <text>
        <t xml:space="preserve">LED tower</t>
      </text>
    </comment>
    <comment authorId="0" ref="AG62">
      <text>
        <t xml:space="preserve">Safety Glasses
protection glsses
</t>
      </text>
    </comment>
    <comment authorId="0" ref="AH62">
      <text>
        <t xml:space="preserve">cooling bag </t>
      </text>
    </comment>
    <comment authorId="0" ref="AL62">
      <text>
        <t xml:space="preserve">Computer screen parts</t>
      </text>
    </comment>
    <comment authorId="0" ref="H63">
      <text>
        <t xml:space="preserve">humidity doom</t>
      </text>
    </comment>
    <comment authorId="0" ref="K63">
      <text>
        <t xml:space="preserve">Ink and date stemp
</t>
      </text>
    </comment>
    <comment authorId="0" ref="R63">
      <text>
        <t xml:space="preserve">electric plugs
</t>
      </text>
    </comment>
    <comment authorId="0" ref="AH63">
      <text>
        <t xml:space="preserve">zip bags </t>
      </text>
    </comment>
    <comment authorId="0" ref="AJ63">
      <text>
        <t xml:space="preserve">computer monitor
</t>
      </text>
    </comment>
    <comment authorId="0" ref="AK63">
      <text>
        <t xml:space="preserve">computer charger</t>
      </text>
    </comment>
    <comment authorId="0" ref="R64">
      <text>
        <t xml:space="preserve">Printer ink </t>
      </text>
    </comment>
    <comment authorId="0" ref="K66">
      <text>
        <t xml:space="preserve">kaufland</t>
      </text>
    </comment>
    <comment authorId="0" ref="L66">
      <text>
        <t xml:space="preserve">faulding Table
</t>
      </text>
    </comment>
    <comment authorId="0" ref="R66">
      <text>
        <t xml:space="preserve">baumarkt</t>
      </text>
    </comment>
    <comment authorId="0" ref="S66">
      <text>
        <t xml:space="preserve">Plastic PVC
 </t>
      </text>
    </comment>
    <comment authorId="0" ref="W66">
      <text>
        <t xml:space="preserve">EbayK
</t>
      </text>
    </comment>
    <comment authorId="0" ref="AJ66">
      <text>
        <t xml:space="preserve">HDMI laaptop</t>
      </text>
    </comment>
    <comment authorId="0" ref="L67">
      <text>
        <t xml:space="preserve">reflector sheet</t>
      </text>
    </comment>
    <comment authorId="0" ref="AJ67">
      <text>
        <t xml:space="preserve">smart steker</t>
      </text>
    </comment>
    <comment authorId="0" ref="K68">
      <text>
        <t xml:space="preserve">saturn antena cabel
</t>
      </text>
    </comment>
    <comment authorId="0" ref="R68">
      <text>
        <t xml:space="preserve">ink for printer
</t>
      </text>
    </comment>
    <comment authorId="0" ref="S68">
      <text>
        <t xml:space="preserve">windows foil</t>
      </text>
    </comment>
    <comment authorId="0" ref="T68">
      <text>
        <t xml:space="preserve">lidl</t>
      </text>
    </comment>
    <comment authorId="0" ref="AG69">
      <text>
        <t xml:space="preserve">Jeff Bcard</t>
      </text>
    </comment>
    <comment authorId="0" ref="J70">
      <text>
        <t xml:space="preserve">ink stamps
</t>
      </text>
    </comment>
    <comment authorId="0" ref="K70">
      <text>
        <t xml:space="preserve">ink stemps 
</t>
      </text>
    </comment>
    <comment authorId="0" ref="AI70">
      <text>
        <t xml:space="preserve">ink stamps</t>
      </text>
    </comment>
    <comment authorId="0" ref="B71">
      <text>
        <t xml:space="preserve">Consaulting a lawyer about opening a company </t>
      </text>
    </comment>
    <comment authorId="0" ref="P71">
      <text>
        <t xml:space="preserve">MicroAcers 
</t>
      </text>
    </comment>
    <comment authorId="0" ref="T71">
      <text>
        <t xml:space="preserve">Skool
</t>
      </text>
    </comment>
    <comment authorId="0" ref="U71">
      <text>
        <t xml:space="preserve">Skool
</t>
      </text>
    </comment>
    <comment authorId="0" ref="V71">
      <text>
        <t xml:space="preserve">Skool
</t>
      </text>
    </comment>
    <comment authorId="0" ref="W71">
      <text>
        <t xml:space="preserve">Skool
</t>
      </text>
    </comment>
    <comment authorId="0" ref="X71">
      <text>
        <t xml:space="preserve">Skool
</t>
      </text>
    </comment>
    <comment authorId="0" ref="Y71">
      <text>
        <t xml:space="preserve">Skool</t>
      </text>
    </comment>
    <comment authorId="0" ref="Z71">
      <text>
        <t xml:space="preserve">Skool</t>
      </text>
    </comment>
    <comment authorId="0" ref="AC71">
      <text>
        <t xml:space="preserve">Skool</t>
      </text>
    </comment>
    <comment authorId="0" ref="AD71">
      <text>
        <t xml:space="preserve">Skool</t>
      </text>
    </comment>
    <comment authorId="0" ref="AE71">
      <text>
        <t xml:space="preserve">Skool
</t>
      </text>
    </comment>
    <comment authorId="0" ref="S72">
      <text>
        <t xml:space="preserve">Real Hanover </t>
      </text>
    </comment>
    <comment authorId="0" ref="AG72">
      <text>
        <t xml:space="preserve">Hanover real estate conference
</t>
      </text>
    </comment>
    <comment authorId="0" ref="AL72">
      <text>
        <t xml:space="preserve">2 tickets for startup arena</t>
      </text>
    </comment>
    <comment authorId="0" ref="AG73">
      <text>
        <t xml:space="preserve">Hanover real estate conference
</t>
      </text>
    </comment>
    <comment authorId="0" ref="AG74">
      <text>
        <t xml:space="preserve">Hanover real estate conference
</t>
      </text>
    </comment>
    <comment authorId="0" ref="AI75">
      <text>
        <t xml:space="preserve">Nono</t>
      </text>
    </comment>
    <comment authorId="0" ref="C81">
      <text>
        <t xml:space="preserve">2 racs</t>
      </text>
    </comment>
    <comment authorId="0" ref="D81">
      <text>
        <t xml:space="preserve">2 racks from amazon</t>
      </text>
    </comment>
    <comment authorId="0" ref="I82">
      <text>
        <t xml:space="preserve">german LEDmid led 1162858
</t>
      </text>
    </comment>
    <comment authorId="0" ref="R82">
      <text>
        <t xml:space="preserve">Barina light
</t>
      </text>
    </comment>
    <comment authorId="0" ref="AL82">
      <text>
        <t xml:space="preserve">led lights 
</t>
      </text>
    </comment>
    <comment authorId="0" ref="AI84">
      <text>
        <t xml:space="preserve">smart sockets
</t>
      </text>
    </comment>
    <comment authorId="0" ref="AI86">
      <text>
        <t xml:space="preserve">monitor on my name</t>
      </text>
    </comment>
    <comment authorId="0" ref="T93">
      <text>
        <t xml:space="preserve">Street Parking 130
open company 200 </t>
      </text>
    </comment>
    <comment authorId="0" ref="W93">
      <text>
        <t xml:space="preserve">Pankow 
</t>
      </text>
    </comment>
  </commentList>
</comments>
</file>

<file path=xl/sharedStrings.xml><?xml version="1.0" encoding="utf-8"?>
<sst xmlns="http://schemas.openxmlformats.org/spreadsheetml/2006/main" count="207" uniqueCount="115">
  <si>
    <t>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</si>
  <si>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</si>
  <si>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</si>
  <si>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</si>
  <si>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</si>
  <si>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</si>
  <si>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</si>
  <si>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</si>
  <si>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</si>
  <si>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</si>
  <si>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</si>
  <si>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</si>
  <si>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</si>
  <si>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Mani </t>
  </si>
  <si>
    <t>Hotel Joe</t>
  </si>
  <si>
    <t>Lucy</t>
  </si>
  <si>
    <t>Funk You</t>
  </si>
  <si>
    <t>Mild&amp;Sugar</t>
  </si>
  <si>
    <t>Munterou</t>
  </si>
  <si>
    <t xml:space="preserve">Mezebar </t>
  </si>
  <si>
    <t xml:space="preserve">Fritz </t>
  </si>
  <si>
    <t xml:space="preserve">Monthly Total </t>
  </si>
  <si>
    <t xml:space="preserve">Total </t>
  </si>
  <si>
    <t>Pastermak</t>
  </si>
  <si>
    <t>205,44</t>
  </si>
  <si>
    <t>HeimlichTeru</t>
  </si>
  <si>
    <t>325,28</t>
  </si>
  <si>
    <t>Caffe Nook</t>
  </si>
  <si>
    <t>Cock n role</t>
  </si>
  <si>
    <t>sep</t>
  </si>
  <si>
    <t>Mai</t>
  </si>
  <si>
    <t>Administration</t>
  </si>
  <si>
    <t>Copy</t>
  </si>
  <si>
    <t>15,10</t>
  </si>
  <si>
    <t xml:space="preserve">Rent </t>
  </si>
  <si>
    <t xml:space="preserve">Rent Deposit </t>
  </si>
  <si>
    <t xml:space="preserve">Electricity </t>
  </si>
  <si>
    <t xml:space="preserve">Gas </t>
  </si>
  <si>
    <t>Bank Commerzbank</t>
  </si>
  <si>
    <t>10,40</t>
  </si>
  <si>
    <t>Bank Revolut</t>
  </si>
  <si>
    <t>Bank Berliner volksbank</t>
  </si>
  <si>
    <t>Google workspace</t>
  </si>
  <si>
    <t xml:space="preserve">Stemps </t>
  </si>
  <si>
    <t>IHK</t>
  </si>
  <si>
    <t>Softwear</t>
  </si>
  <si>
    <t>ChatGpt</t>
  </si>
  <si>
    <t>Canva</t>
  </si>
  <si>
    <t>LassPass</t>
  </si>
  <si>
    <t xml:space="preserve">Lexware </t>
  </si>
  <si>
    <t>26,06</t>
  </si>
  <si>
    <t>26,07</t>
  </si>
  <si>
    <t>Gemini</t>
  </si>
  <si>
    <t xml:space="preserve">Online </t>
  </si>
  <si>
    <t xml:space="preserve">Hosting </t>
  </si>
  <si>
    <t>60,88</t>
  </si>
  <si>
    <t>Domain</t>
  </si>
  <si>
    <t>Internet</t>
  </si>
  <si>
    <t>38,98</t>
  </si>
  <si>
    <t>38,99</t>
  </si>
  <si>
    <t xml:space="preserve">Stickers </t>
  </si>
  <si>
    <t>Company</t>
  </si>
  <si>
    <t xml:space="preserve">Phone </t>
  </si>
  <si>
    <t>Total</t>
  </si>
  <si>
    <t>Production</t>
  </si>
  <si>
    <t>Soil</t>
  </si>
  <si>
    <t xml:space="preserve">Seeds </t>
  </si>
  <si>
    <t>283,01</t>
  </si>
  <si>
    <t xml:space="preserve">Containers </t>
  </si>
  <si>
    <t>Tray</t>
  </si>
  <si>
    <t>Lights</t>
  </si>
  <si>
    <t>Bauhause</t>
  </si>
  <si>
    <t>Obi</t>
  </si>
  <si>
    <t xml:space="preserve">Metro </t>
  </si>
  <si>
    <t>Lidl</t>
  </si>
  <si>
    <t xml:space="preserve">Kaufland </t>
  </si>
  <si>
    <t>Amazon</t>
  </si>
  <si>
    <t>Miscellaneous</t>
  </si>
  <si>
    <t xml:space="preserve">Business card </t>
  </si>
  <si>
    <t xml:space="preserve">Office Equipment </t>
  </si>
  <si>
    <t xml:space="preserve">Consaulting </t>
  </si>
  <si>
    <t xml:space="preserve">Events </t>
  </si>
  <si>
    <t>Video production</t>
  </si>
  <si>
    <t>clraning and hygin</t>
  </si>
  <si>
    <t xml:space="preserve">Racks </t>
  </si>
  <si>
    <t xml:space="preserve">Lights </t>
  </si>
  <si>
    <t xml:space="preserve">Computer </t>
  </si>
  <si>
    <t>Smart Sockets</t>
  </si>
  <si>
    <t>Refrigerator</t>
  </si>
  <si>
    <t>computer monitor</t>
  </si>
  <si>
    <t xml:space="preserve">Car </t>
  </si>
  <si>
    <t xml:space="preserve">Name </t>
  </si>
  <si>
    <t xml:space="preserve">Topic </t>
  </si>
  <si>
    <t>Account No</t>
  </si>
  <si>
    <t>Duration/Mo</t>
  </si>
  <si>
    <t xml:space="preserve">Start </t>
  </si>
  <si>
    <t xml:space="preserve">ends </t>
  </si>
  <si>
    <t xml:space="preserve">Amount </t>
  </si>
  <si>
    <t>SuWeg</t>
  </si>
  <si>
    <t>27.5.24</t>
  </si>
  <si>
    <t>EWE</t>
  </si>
  <si>
    <t>Gas</t>
  </si>
  <si>
    <t>31.5.2024</t>
  </si>
  <si>
    <t>30.5.26</t>
  </si>
  <si>
    <t xml:space="preserve">Pyur </t>
  </si>
  <si>
    <t xml:space="preserve">Internet </t>
  </si>
  <si>
    <t>27.9.23</t>
  </si>
  <si>
    <t>lexware</t>
  </si>
  <si>
    <t>Acounting app</t>
  </si>
  <si>
    <t>AWS</t>
  </si>
  <si>
    <t xml:space="preserve">Cloud </t>
  </si>
  <si>
    <t>2235-9290-7888</t>
  </si>
  <si>
    <t xml:space="preserve">Emails </t>
  </si>
  <si>
    <t>Winsim</t>
  </si>
  <si>
    <t>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</si>
</sst>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$€]#,##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sz val="10.0"/>
      <color rgb="FF0F1111"/>
      <name val="&quot;Amazon Ember&quot;"/>
    </font>
    <font>
      <sz val="10.0"/>
      <color rgb="FF0F1111"/>
      <name val="Arial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181818"/>
      <name val="Arial"/>
      <scheme val="minor"/>
    </font>
    <font>
      <sz val="12.0"/>
      <color rgb="FF000000"/>
      <name val="Arial"/>
    </font>
    <font>
      <sz val="11.0"/>
      <color rgb="FF333333"/>
      <name val="Arial"/>
      <scheme val="minor"/>
    </font>
    <font>
      <sz val="11.0"/>
      <color rgb="FF000000"/>
      <name val="&quot;Amazon Ember&quot;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AFAFA"/>
        <bgColor rgb="FFFAFA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center"/>
    </xf>
    <xf borderId="4" fillId="3" fontId="2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1" fillId="5" fontId="1" numFmtId="0" xfId="0" applyAlignment="1" applyBorder="1" applyFont="1">
      <alignment horizontal="center"/>
    </xf>
    <xf borderId="6" fillId="5" fontId="1" numFmtId="0" xfId="0" applyAlignment="1" applyBorder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9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1" fillId="6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10" fillId="0" fontId="3" numFmtId="0" xfId="0" applyBorder="1" applyFont="1"/>
    <xf borderId="5" fillId="0" fontId="3" numFmtId="0" xfId="0" applyBorder="1" applyFont="1"/>
    <xf borderId="10" fillId="4" fontId="4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vertical="bottom"/>
    </xf>
    <xf borderId="1" fillId="0" fontId="2" numFmtId="0" xfId="0" applyBorder="1" applyFont="1"/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6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7" fontId="2" numFmtId="0" xfId="0" applyAlignment="1" applyFont="1">
      <alignment readingOrder="0"/>
    </xf>
    <xf borderId="1" fillId="8" fontId="2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8" fontId="2" numFmtId="0" xfId="0" applyAlignment="1" applyFont="1">
      <alignment horizontal="center" readingOrder="0"/>
    </xf>
    <xf borderId="2" fillId="7" fontId="2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7" fontId="6" numFmtId="0" xfId="0" applyAlignment="1" applyFont="1">
      <alignment horizontal="center" readingOrder="0"/>
    </xf>
    <xf borderId="2" fillId="6" fontId="2" numFmtId="0" xfId="0" applyAlignment="1" applyBorder="1" applyFont="1">
      <alignment horizontal="center" readingOrder="0"/>
    </xf>
    <xf borderId="2" fillId="0" fontId="2" numFmtId="0" xfId="0" applyBorder="1" applyFont="1"/>
    <xf borderId="2" fillId="6" fontId="2" numFmtId="0" xfId="0" applyBorder="1" applyFont="1"/>
    <xf borderId="0" fillId="6" fontId="7" numFmtId="0" xfId="0" applyAlignment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5" fontId="1" numFmtId="0" xfId="0" applyAlignment="1" applyFont="1">
      <alignment horizontal="center"/>
    </xf>
    <xf borderId="1" fillId="9" fontId="2" numFmtId="0" xfId="0" applyAlignment="1" applyBorder="1" applyFill="1" applyFont="1">
      <alignment horizontal="center" readingOrder="0"/>
    </xf>
    <xf borderId="0" fillId="6" fontId="2" numFmtId="0" xfId="0" applyAlignment="1" applyFont="1">
      <alignment horizontal="center"/>
    </xf>
    <xf borderId="1" fillId="5" fontId="2" numFmtId="0" xfId="0" applyAlignment="1" applyBorder="1" applyFont="1">
      <alignment horizontal="center"/>
    </xf>
    <xf borderId="0" fillId="6" fontId="2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10" fontId="11" numFmtId="0" xfId="0" applyAlignment="1" applyFill="1" applyFont="1">
      <alignment horizontal="center" readingOrder="0" vertical="bottom"/>
    </xf>
    <xf borderId="0" fillId="0" fontId="10" numFmtId="0" xfId="0" applyAlignment="1" applyFont="1">
      <alignment horizontal="center"/>
    </xf>
    <xf borderId="0" fillId="0" fontId="10" numFmtId="165" xfId="0" applyAlignment="1" applyFont="1" applyNumberFormat="1">
      <alignment horizontal="center" readingOrder="0"/>
    </xf>
    <xf borderId="0" fillId="6" fontId="12" numFmtId="0" xfId="0" applyAlignment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6" fontId="14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>
        <v>2024.0</v>
      </c>
      <c r="N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/>
      <c r="O2" s="4"/>
    </row>
    <row r="3">
      <c r="A3" s="3"/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</row>
    <row r="4">
      <c r="A4" s="7" t="s">
        <v>13</v>
      </c>
      <c r="B4" s="5"/>
      <c r="C4" s="5"/>
      <c r="D4" s="5"/>
      <c r="E4" s="8"/>
      <c r="F4" s="9">
        <v>308.16</v>
      </c>
      <c r="G4" s="10">
        <v>573.52</v>
      </c>
      <c r="H4" s="11">
        <v>222.58</v>
      </c>
      <c r="I4" s="5"/>
      <c r="J4" s="5"/>
      <c r="K4" s="5"/>
      <c r="L4" s="5"/>
      <c r="M4" s="5"/>
    </row>
    <row r="5">
      <c r="A5" s="7" t="s">
        <v>14</v>
      </c>
      <c r="B5" s="5"/>
      <c r="C5" s="5"/>
      <c r="D5" s="5"/>
      <c r="E5" s="8"/>
      <c r="F5" s="12">
        <v>88.88</v>
      </c>
      <c r="G5" s="13"/>
      <c r="H5" s="5"/>
      <c r="I5" s="5"/>
      <c r="J5" s="6"/>
      <c r="K5" s="5"/>
      <c r="L5" s="5"/>
      <c r="M5" s="5"/>
    </row>
    <row r="6">
      <c r="A6" s="7" t="s">
        <v>15</v>
      </c>
      <c r="B6" s="5"/>
      <c r="C6" s="5"/>
      <c r="D6" s="5"/>
      <c r="E6" s="5"/>
      <c r="F6" s="14"/>
      <c r="G6" s="5"/>
      <c r="H6" s="5"/>
      <c r="I6" s="8"/>
      <c r="J6" s="12">
        <v>393.76</v>
      </c>
      <c r="K6" s="10">
        <v>299.6</v>
      </c>
      <c r="L6" s="15">
        <v>594.92</v>
      </c>
      <c r="M6" s="15">
        <v>560.68</v>
      </c>
    </row>
    <row r="7">
      <c r="A7" s="7" t="s">
        <v>16</v>
      </c>
      <c r="B7" s="5"/>
      <c r="C7" s="5"/>
      <c r="D7" s="5"/>
      <c r="E7" s="5"/>
      <c r="F7" s="5"/>
      <c r="G7" s="5"/>
      <c r="H7" s="6"/>
      <c r="I7" s="8"/>
      <c r="J7" s="12">
        <v>154.08</v>
      </c>
      <c r="K7" s="10">
        <v>128.4</v>
      </c>
      <c r="L7" s="15">
        <v>102.72</v>
      </c>
      <c r="M7" s="15">
        <v>77.04</v>
      </c>
    </row>
    <row r="8">
      <c r="A8" s="7" t="s">
        <v>17</v>
      </c>
      <c r="B8" s="5"/>
      <c r="C8" s="5"/>
      <c r="D8" s="5"/>
      <c r="E8" s="5"/>
      <c r="F8" s="5"/>
      <c r="G8" s="8"/>
      <c r="H8" s="12">
        <v>64.2</v>
      </c>
      <c r="I8" s="16">
        <v>42.8</v>
      </c>
      <c r="J8" s="17">
        <v>21.4</v>
      </c>
      <c r="K8" s="15">
        <v>107.0</v>
      </c>
      <c r="L8" s="15">
        <v>85.6</v>
      </c>
      <c r="M8" s="5"/>
    </row>
    <row r="9">
      <c r="A9" s="7" t="s">
        <v>18</v>
      </c>
      <c r="B9" s="5"/>
      <c r="C9" s="5"/>
      <c r="D9" s="5"/>
      <c r="E9" s="5"/>
      <c r="F9" s="5"/>
      <c r="G9" s="5"/>
      <c r="H9" s="18"/>
      <c r="I9" s="12">
        <v>1051.81</v>
      </c>
      <c r="J9" s="13"/>
      <c r="K9" s="5"/>
      <c r="L9" s="19">
        <v>175.48</v>
      </c>
      <c r="M9" s="15">
        <v>273.92</v>
      </c>
    </row>
    <row r="10">
      <c r="A10" s="7" t="s">
        <v>19</v>
      </c>
      <c r="B10" s="5"/>
      <c r="C10" s="5"/>
      <c r="D10" s="5"/>
      <c r="E10" s="5"/>
      <c r="F10" s="5"/>
      <c r="G10" s="5"/>
      <c r="H10" s="5"/>
      <c r="I10" s="14"/>
      <c r="J10" s="5"/>
      <c r="K10" s="8"/>
      <c r="L10" s="12">
        <v>77.04</v>
      </c>
      <c r="M10" s="16">
        <v>102.72</v>
      </c>
    </row>
    <row r="11">
      <c r="A11" s="7" t="s">
        <v>20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8"/>
      <c r="M11" s="9">
        <v>550.0</v>
      </c>
    </row>
    <row r="12">
      <c r="A12" s="20" t="s">
        <v>21</v>
      </c>
      <c r="B12" s="21"/>
      <c r="C12" s="21"/>
      <c r="D12" s="21"/>
      <c r="E12" s="21"/>
      <c r="F12" s="22">
        <f t="shared" ref="F12:L12" si="1">SUM(F4:F11)</f>
        <v>397.04</v>
      </c>
      <c r="G12" s="22">
        <f t="shared" si="1"/>
        <v>573.52</v>
      </c>
      <c r="H12" s="22">
        <f t="shared" si="1"/>
        <v>286.78</v>
      </c>
      <c r="I12" s="22">
        <f t="shared" si="1"/>
        <v>1094.61</v>
      </c>
      <c r="J12" s="22">
        <f t="shared" si="1"/>
        <v>569.24</v>
      </c>
      <c r="K12" s="22">
        <f t="shared" si="1"/>
        <v>535</v>
      </c>
      <c r="L12" s="22">
        <f t="shared" si="1"/>
        <v>1035.76</v>
      </c>
      <c r="M12" s="23">
        <f>SUM(M6:M11)</f>
        <v>1564.36</v>
      </c>
    </row>
    <row r="13">
      <c r="A13" s="20" t="s">
        <v>22</v>
      </c>
      <c r="B13" s="21"/>
      <c r="C13" s="21"/>
      <c r="D13" s="21"/>
      <c r="E13" s="21"/>
      <c r="F13" s="22">
        <f>F12</f>
        <v>397.04</v>
      </c>
      <c r="G13" s="22">
        <f t="shared" ref="G13:M13" si="2">G12+F13</f>
        <v>970.56</v>
      </c>
      <c r="H13" s="22">
        <f t="shared" si="2"/>
        <v>1257.34</v>
      </c>
      <c r="I13" s="22">
        <f t="shared" si="2"/>
        <v>2351.95</v>
      </c>
      <c r="J13" s="22">
        <f t="shared" si="2"/>
        <v>2921.19</v>
      </c>
      <c r="K13" s="22">
        <f t="shared" si="2"/>
        <v>3456.19</v>
      </c>
      <c r="L13" s="22">
        <f t="shared" si="2"/>
        <v>4491.95</v>
      </c>
      <c r="M13" s="22">
        <f t="shared" si="2"/>
        <v>6056.31</v>
      </c>
    </row>
    <row r="14">
      <c r="A14" s="24"/>
    </row>
    <row r="15">
      <c r="A15" s="1"/>
      <c r="B15" s="1">
        <v>2025.0</v>
      </c>
    </row>
    <row r="16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</row>
    <row r="17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7" t="s">
        <v>15</v>
      </c>
      <c r="B20" s="15">
        <v>483.64</v>
      </c>
      <c r="C20" s="15">
        <v>406.6</v>
      </c>
      <c r="D20" s="15">
        <v>428.0</v>
      </c>
      <c r="E20" s="5"/>
      <c r="F20" s="15">
        <v>535.0</v>
      </c>
      <c r="G20" s="15">
        <v>428.0</v>
      </c>
      <c r="H20" s="15">
        <v>856.0</v>
      </c>
      <c r="I20" s="15">
        <v>547.84</v>
      </c>
      <c r="J20" s="15">
        <v>856.0</v>
      </c>
      <c r="K20" s="15">
        <v>556.4</v>
      </c>
      <c r="L20" s="15">
        <v>428.0</v>
      </c>
      <c r="M20" s="15">
        <v>535.0</v>
      </c>
    </row>
    <row r="21">
      <c r="A21" s="7" t="s">
        <v>16</v>
      </c>
      <c r="B21" s="15">
        <v>128.4</v>
      </c>
      <c r="C21" s="15">
        <v>102.72</v>
      </c>
      <c r="D21" s="15">
        <v>102.72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</row>
    <row r="22">
      <c r="A22" s="7" t="s">
        <v>18</v>
      </c>
      <c r="B22" s="15">
        <v>243.96</v>
      </c>
      <c r="C22" s="15">
        <v>102.72</v>
      </c>
      <c r="D22" s="15">
        <v>243.96</v>
      </c>
      <c r="E22" s="25">
        <v>0.0</v>
      </c>
      <c r="F22" s="25">
        <v>0.0</v>
      </c>
      <c r="G22" s="25">
        <v>0.0</v>
      </c>
      <c r="H22" s="25">
        <v>0.0</v>
      </c>
      <c r="I22" s="25">
        <v>0.0</v>
      </c>
      <c r="J22" s="25">
        <v>0.0</v>
      </c>
      <c r="K22" s="25">
        <v>0.0</v>
      </c>
      <c r="L22" s="25">
        <v>0.0</v>
      </c>
      <c r="M22" s="25">
        <v>0.0</v>
      </c>
    </row>
    <row r="23">
      <c r="A23" s="7" t="s">
        <v>19</v>
      </c>
      <c r="B23" s="15">
        <v>128.4</v>
      </c>
      <c r="C23" s="15">
        <v>231.12</v>
      </c>
      <c r="D23" s="15">
        <v>216.0</v>
      </c>
      <c r="E23" s="26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</row>
    <row r="24">
      <c r="A24" s="7" t="s">
        <v>23</v>
      </c>
      <c r="B24" s="5"/>
      <c r="C24" s="5"/>
      <c r="D24" s="8"/>
      <c r="E24" s="12">
        <v>179.76</v>
      </c>
      <c r="F24" s="10">
        <v>192.6</v>
      </c>
      <c r="G24" s="15">
        <v>166.92</v>
      </c>
      <c r="H24" s="15">
        <v>299.6</v>
      </c>
      <c r="I24" s="15">
        <v>205.44</v>
      </c>
      <c r="J24" s="15">
        <v>256.8</v>
      </c>
      <c r="K24" s="15">
        <v>205.44</v>
      </c>
      <c r="L24" s="15" t="s">
        <v>24</v>
      </c>
      <c r="M24" s="15">
        <v>256.8</v>
      </c>
    </row>
    <row r="25">
      <c r="A25" s="7" t="s">
        <v>25</v>
      </c>
      <c r="B25" s="5"/>
      <c r="C25" s="5"/>
      <c r="D25" s="8"/>
      <c r="E25" s="27">
        <v>59.92</v>
      </c>
      <c r="F25" s="10">
        <v>226.84</v>
      </c>
      <c r="G25" s="15">
        <v>239.68</v>
      </c>
      <c r="H25" s="19" t="s">
        <v>26</v>
      </c>
      <c r="I25" s="28">
        <v>291.04</v>
      </c>
      <c r="J25" s="15">
        <v>363.8</v>
      </c>
      <c r="K25" s="11">
        <v>338.2</v>
      </c>
      <c r="L25" s="15">
        <v>353.92</v>
      </c>
      <c r="M25" s="11">
        <v>363.92</v>
      </c>
    </row>
    <row r="26">
      <c r="A26" s="7" t="s">
        <v>27</v>
      </c>
      <c r="B26" s="5"/>
      <c r="C26" s="5"/>
      <c r="D26" s="8"/>
      <c r="E26" s="5"/>
      <c r="F26" s="13"/>
      <c r="G26" s="8"/>
      <c r="H26" s="12">
        <v>107.0</v>
      </c>
      <c r="I26" s="10">
        <v>85.6</v>
      </c>
      <c r="J26" s="15">
        <v>107.0</v>
      </c>
      <c r="K26" s="15">
        <v>77.04</v>
      </c>
      <c r="L26" s="15">
        <v>85.6</v>
      </c>
      <c r="M26" s="15">
        <v>98.44</v>
      </c>
    </row>
    <row r="27">
      <c r="A27" s="7" t="s">
        <v>28</v>
      </c>
      <c r="B27" s="5"/>
      <c r="C27" s="5"/>
      <c r="D27" s="8"/>
      <c r="E27" s="29"/>
      <c r="F27" s="13"/>
      <c r="G27" s="8"/>
      <c r="H27" s="30"/>
      <c r="I27" s="10">
        <v>114.49</v>
      </c>
      <c r="J27" s="5"/>
      <c r="K27" s="5"/>
      <c r="L27" s="5"/>
      <c r="M27" s="5"/>
    </row>
    <row r="28">
      <c r="A28" s="20" t="s">
        <v>21</v>
      </c>
      <c r="B28" s="22">
        <f t="shared" ref="B28:H28" si="3">SUM(B18:B26)</f>
        <v>984.4</v>
      </c>
      <c r="C28" s="22">
        <f t="shared" si="3"/>
        <v>843.16</v>
      </c>
      <c r="D28" s="22">
        <f t="shared" si="3"/>
        <v>990.68</v>
      </c>
      <c r="E28" s="22">
        <f t="shared" si="3"/>
        <v>239.68</v>
      </c>
      <c r="F28" s="22">
        <f t="shared" si="3"/>
        <v>954.44</v>
      </c>
      <c r="G28" s="22">
        <f t="shared" si="3"/>
        <v>834.6</v>
      </c>
      <c r="H28" s="22">
        <f t="shared" si="3"/>
        <v>1262.6</v>
      </c>
      <c r="I28" s="22">
        <f>SUM(I18:I27)</f>
        <v>1244.41</v>
      </c>
      <c r="J28" s="22">
        <f t="shared" ref="J28:M28" si="4">SUM(J18:J26)</f>
        <v>1583.6</v>
      </c>
      <c r="K28" s="22">
        <f t="shared" si="4"/>
        <v>1177.08</v>
      </c>
      <c r="L28" s="22">
        <f t="shared" si="4"/>
        <v>867.52</v>
      </c>
      <c r="M28" s="22">
        <f t="shared" si="4"/>
        <v>1254.16</v>
      </c>
    </row>
    <row r="29">
      <c r="A29" s="20" t="s">
        <v>22</v>
      </c>
      <c r="B29" s="22">
        <f>B28</f>
        <v>984.4</v>
      </c>
      <c r="C29" s="22">
        <f t="shared" ref="C29:M29" si="5">C28+B29</f>
        <v>1827.56</v>
      </c>
      <c r="D29" s="22">
        <f t="shared" si="5"/>
        <v>2818.24</v>
      </c>
      <c r="E29" s="22">
        <f t="shared" si="5"/>
        <v>3057.92</v>
      </c>
      <c r="F29" s="22">
        <f t="shared" si="5"/>
        <v>4012.36</v>
      </c>
      <c r="G29" s="22">
        <f t="shared" si="5"/>
        <v>4846.96</v>
      </c>
      <c r="H29" s="22">
        <f t="shared" si="5"/>
        <v>6109.56</v>
      </c>
      <c r="I29" s="22">
        <f t="shared" si="5"/>
        <v>7353.97</v>
      </c>
      <c r="J29" s="22">
        <f t="shared" si="5"/>
        <v>8937.57</v>
      </c>
      <c r="K29" s="22">
        <f t="shared" si="5"/>
        <v>10114.65</v>
      </c>
      <c r="L29" s="22">
        <f t="shared" si="5"/>
        <v>10982.17</v>
      </c>
      <c r="M29" s="22">
        <f t="shared" si="5"/>
        <v>12236.33</v>
      </c>
    </row>
    <row r="30">
      <c r="A30" s="24"/>
    </row>
    <row r="31">
      <c r="A31" s="24"/>
      <c r="B31" s="31">
        <v>2026.0</v>
      </c>
    </row>
    <row r="32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  <c r="J32" s="3" t="s">
        <v>9</v>
      </c>
      <c r="K32" s="3" t="s">
        <v>10</v>
      </c>
      <c r="L32" s="3" t="s">
        <v>11</v>
      </c>
      <c r="M32" s="3" t="s">
        <v>12</v>
      </c>
    </row>
    <row r="33">
      <c r="A33" s="7" t="s">
        <v>15</v>
      </c>
      <c r="B33" s="15">
        <v>428.0</v>
      </c>
      <c r="C33" s="15">
        <v>470.8</v>
      </c>
      <c r="D33" s="11">
        <v>513.6</v>
      </c>
      <c r="E33" s="32"/>
      <c r="F33" s="32"/>
      <c r="G33" s="32"/>
      <c r="H33" s="32"/>
      <c r="I33" s="32"/>
      <c r="J33" s="32"/>
      <c r="K33" s="32"/>
      <c r="L33" s="32"/>
      <c r="M33" s="32"/>
    </row>
    <row r="34">
      <c r="A34" s="7" t="s">
        <v>23</v>
      </c>
      <c r="B34" s="15">
        <v>205.44</v>
      </c>
      <c r="C34" s="15">
        <v>205.44</v>
      </c>
      <c r="D34" s="11">
        <v>256.9</v>
      </c>
      <c r="E34" s="32"/>
      <c r="F34" s="32"/>
      <c r="G34" s="32"/>
      <c r="H34" s="32"/>
      <c r="I34" s="32"/>
      <c r="J34" s="32"/>
      <c r="K34" s="32"/>
      <c r="L34" s="32"/>
      <c r="M34" s="32"/>
    </row>
    <row r="35">
      <c r="A35" s="7" t="s">
        <v>25</v>
      </c>
      <c r="B35" s="11">
        <v>329.56</v>
      </c>
      <c r="C35" s="15">
        <v>239.68</v>
      </c>
      <c r="D35" s="11">
        <v>356.72</v>
      </c>
      <c r="E35" s="32"/>
      <c r="F35" s="32"/>
      <c r="G35" s="32"/>
      <c r="H35" s="32"/>
      <c r="I35" s="32"/>
      <c r="J35" s="32"/>
      <c r="K35" s="32"/>
      <c r="L35" s="32"/>
      <c r="M35" s="32"/>
    </row>
    <row r="36">
      <c r="A36" s="7" t="s">
        <v>27</v>
      </c>
      <c r="B36" s="11">
        <v>77.41</v>
      </c>
      <c r="C36" s="15">
        <v>85.6</v>
      </c>
      <c r="D36" s="11">
        <v>128.4</v>
      </c>
      <c r="E36" s="32"/>
      <c r="F36" s="32"/>
      <c r="G36" s="32"/>
      <c r="H36" s="32"/>
      <c r="I36" s="32"/>
      <c r="J36" s="32"/>
      <c r="K36" s="32"/>
      <c r="L36" s="32"/>
      <c r="M36" s="32"/>
    </row>
    <row r="37">
      <c r="A37" s="7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>
      <c r="A38" s="20" t="s">
        <v>21</v>
      </c>
      <c r="B38" s="22">
        <f t="shared" ref="B38:H38" si="6">SUM(B33:B36)</f>
        <v>1040.41</v>
      </c>
      <c r="C38" s="22">
        <f t="shared" si="6"/>
        <v>1001.52</v>
      </c>
      <c r="D38" s="22">
        <f t="shared" si="6"/>
        <v>1255.62</v>
      </c>
      <c r="E38" s="22">
        <f t="shared" si="6"/>
        <v>0</v>
      </c>
      <c r="F38" s="22">
        <f t="shared" si="6"/>
        <v>0</v>
      </c>
      <c r="G38" s="22">
        <f t="shared" si="6"/>
        <v>0</v>
      </c>
      <c r="H38" s="22">
        <f t="shared" si="6"/>
        <v>0</v>
      </c>
      <c r="I38" s="22">
        <f>SUM(I33:I37)</f>
        <v>0</v>
      </c>
      <c r="J38" s="22">
        <f t="shared" ref="J38:M38" si="7">SUM(J33:J36)</f>
        <v>0</v>
      </c>
      <c r="K38" s="22">
        <f t="shared" si="7"/>
        <v>0</v>
      </c>
      <c r="L38" s="22">
        <f t="shared" si="7"/>
        <v>0</v>
      </c>
      <c r="M38" s="22">
        <f t="shared" si="7"/>
        <v>0</v>
      </c>
    </row>
    <row r="39">
      <c r="A39" s="20" t="s">
        <v>22</v>
      </c>
      <c r="B39" s="22">
        <f>B38</f>
        <v>1040.41</v>
      </c>
      <c r="C39" s="22">
        <f t="shared" ref="C39:M39" si="8">C38+B39</f>
        <v>2041.93</v>
      </c>
      <c r="D39" s="22">
        <f t="shared" si="8"/>
        <v>3297.55</v>
      </c>
      <c r="E39" s="22">
        <f t="shared" si="8"/>
        <v>3297.55</v>
      </c>
      <c r="F39" s="22">
        <f t="shared" si="8"/>
        <v>3297.55</v>
      </c>
      <c r="G39" s="22">
        <f t="shared" si="8"/>
        <v>3297.55</v>
      </c>
      <c r="H39" s="22">
        <f t="shared" si="8"/>
        <v>3297.55</v>
      </c>
      <c r="I39" s="22">
        <f t="shared" si="8"/>
        <v>3297.55</v>
      </c>
      <c r="J39" s="22">
        <f t="shared" si="8"/>
        <v>3297.55</v>
      </c>
      <c r="K39" s="22">
        <f t="shared" si="8"/>
        <v>3297.55</v>
      </c>
      <c r="L39" s="22">
        <f t="shared" si="8"/>
        <v>3297.55</v>
      </c>
      <c r="M39" s="22">
        <f t="shared" si="8"/>
        <v>3297.55</v>
      </c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</sheetData>
  <mergeCells count="3">
    <mergeCell ref="B1:M1"/>
    <mergeCell ref="B15:M15"/>
    <mergeCell ref="B31:M3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38"/>
  </cols>
  <sheetData>
    <row r="1">
      <c r="B1" s="1"/>
      <c r="C1" s="1"/>
      <c r="D1" s="1">
        <v>2022.0</v>
      </c>
      <c r="E1" s="1"/>
      <c r="F1" s="1"/>
      <c r="G1" s="1"/>
      <c r="H1" s="1"/>
      <c r="I1" s="1">
        <v>2023.0</v>
      </c>
      <c r="M1" s="1"/>
      <c r="N1" s="1"/>
      <c r="O1" s="33">
        <v>2024.0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5"/>
      <c r="AA1" s="1"/>
      <c r="AB1" s="1"/>
      <c r="AC1" s="36">
        <v>2025.0</v>
      </c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5"/>
      <c r="AP1" s="37">
        <v>2025.0</v>
      </c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5"/>
    </row>
    <row r="2">
      <c r="A2" s="38"/>
      <c r="B2" s="3" t="s">
        <v>5</v>
      </c>
      <c r="C2" s="3" t="s">
        <v>29</v>
      </c>
      <c r="D2" s="3" t="s">
        <v>12</v>
      </c>
      <c r="E2" s="3"/>
      <c r="F2" s="3" t="s">
        <v>3</v>
      </c>
      <c r="G2" s="3"/>
      <c r="H2" s="3" t="s">
        <v>30</v>
      </c>
      <c r="I2" s="3" t="s">
        <v>9</v>
      </c>
      <c r="J2" s="3" t="s">
        <v>10</v>
      </c>
      <c r="K2" s="3" t="s">
        <v>11</v>
      </c>
      <c r="L2" s="3" t="s">
        <v>12</v>
      </c>
      <c r="M2" s="1"/>
      <c r="N2" s="1"/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1"/>
      <c r="AB2" s="1"/>
      <c r="AC2" s="3" t="s">
        <v>1</v>
      </c>
      <c r="AD2" s="3" t="s">
        <v>2</v>
      </c>
      <c r="AE2" s="3" t="s">
        <v>3</v>
      </c>
      <c r="AF2" s="3" t="s">
        <v>4</v>
      </c>
      <c r="AG2" s="3" t="s">
        <v>5</v>
      </c>
      <c r="AH2" s="3" t="s">
        <v>6</v>
      </c>
      <c r="AI2" s="3" t="s">
        <v>7</v>
      </c>
      <c r="AJ2" s="3" t="s">
        <v>8</v>
      </c>
      <c r="AK2" s="3" t="s">
        <v>9</v>
      </c>
      <c r="AL2" s="3" t="s">
        <v>10</v>
      </c>
      <c r="AM2" s="3" t="s">
        <v>11</v>
      </c>
      <c r="AN2" s="3" t="s">
        <v>12</v>
      </c>
      <c r="AP2" s="39" t="s">
        <v>1</v>
      </c>
      <c r="AQ2" s="39" t="s">
        <v>2</v>
      </c>
      <c r="AR2" s="39" t="s">
        <v>3</v>
      </c>
      <c r="AS2" s="39" t="s">
        <v>4</v>
      </c>
      <c r="AT2" s="39" t="s">
        <v>5</v>
      </c>
      <c r="AU2" s="39" t="s">
        <v>6</v>
      </c>
      <c r="AV2" s="39" t="s">
        <v>7</v>
      </c>
      <c r="AW2" s="39" t="s">
        <v>8</v>
      </c>
      <c r="AX2" s="39" t="s">
        <v>9</v>
      </c>
      <c r="AY2" s="39" t="s">
        <v>10</v>
      </c>
      <c r="AZ2" s="39" t="s">
        <v>11</v>
      </c>
      <c r="BA2" s="39" t="s">
        <v>12</v>
      </c>
    </row>
    <row r="3">
      <c r="A3" s="7" t="s">
        <v>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9"/>
      <c r="N3" s="29"/>
      <c r="O3" s="5"/>
      <c r="P3" s="25"/>
      <c r="Q3" s="5"/>
      <c r="R3" s="25"/>
      <c r="S3" s="25"/>
      <c r="T3" s="25"/>
      <c r="U3" s="5"/>
      <c r="V3" s="5"/>
      <c r="W3" s="5"/>
      <c r="X3" s="5"/>
      <c r="Y3" s="5"/>
      <c r="Z3" s="5"/>
      <c r="AA3" s="29"/>
      <c r="AB3" s="29"/>
      <c r="AC3" s="5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r="4">
      <c r="A4" s="40" t="s">
        <v>32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29"/>
      <c r="N4" s="29"/>
      <c r="O4" s="5"/>
      <c r="P4" s="25" t="s">
        <v>33</v>
      </c>
      <c r="Q4" s="5"/>
      <c r="R4" s="25">
        <v>14.94</v>
      </c>
      <c r="S4" s="25">
        <v>28.64</v>
      </c>
      <c r="T4" s="25">
        <v>28.64</v>
      </c>
      <c r="U4" s="5"/>
      <c r="V4" s="5"/>
      <c r="W4" s="5"/>
      <c r="X4" s="5"/>
      <c r="Y4" s="5"/>
      <c r="Z4" s="5"/>
      <c r="AA4" s="29"/>
      <c r="AB4" s="29"/>
      <c r="AC4" s="5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>
      <c r="A5" s="41" t="s">
        <v>34</v>
      </c>
      <c r="B5" s="25"/>
      <c r="C5" s="25"/>
      <c r="D5" s="25"/>
      <c r="E5" s="25"/>
      <c r="F5" s="25"/>
      <c r="G5" s="25"/>
      <c r="H5" s="25"/>
      <c r="I5" s="25">
        <v>630.7</v>
      </c>
      <c r="J5" s="25">
        <v>1261.4</v>
      </c>
      <c r="K5" s="25">
        <v>1261.4</v>
      </c>
      <c r="L5" s="25">
        <v>1261.4</v>
      </c>
      <c r="M5" s="42"/>
      <c r="N5" s="42"/>
      <c r="O5" s="25">
        <v>1261.4</v>
      </c>
      <c r="P5" s="25">
        <v>1261.4</v>
      </c>
      <c r="Q5" s="25">
        <v>1261.4</v>
      </c>
      <c r="R5" s="25">
        <v>1261.4</v>
      </c>
      <c r="S5" s="25">
        <v>1261.4</v>
      </c>
      <c r="T5" s="25">
        <v>1261.4</v>
      </c>
      <c r="U5" s="25">
        <v>1261.4</v>
      </c>
      <c r="V5" s="25">
        <v>1261.4</v>
      </c>
      <c r="W5" s="25">
        <v>1261.4</v>
      </c>
      <c r="X5" s="25">
        <v>1324.47</v>
      </c>
      <c r="Y5" s="25">
        <v>1324.47</v>
      </c>
      <c r="Z5" s="25">
        <v>1324.47</v>
      </c>
      <c r="AA5" s="42"/>
      <c r="AB5" s="42"/>
      <c r="AC5" s="25">
        <v>1324.47</v>
      </c>
      <c r="AD5" s="25">
        <v>1324.47</v>
      </c>
      <c r="AE5" s="25">
        <v>1324.47</v>
      </c>
      <c r="AF5" s="25">
        <v>1324.47</v>
      </c>
      <c r="AG5" s="25">
        <v>1324.47</v>
      </c>
      <c r="AH5" s="25">
        <v>1324.47</v>
      </c>
      <c r="AI5" s="25">
        <v>1324.47</v>
      </c>
      <c r="AJ5" s="25">
        <v>1324.47</v>
      </c>
      <c r="AK5" s="25">
        <v>1324.47</v>
      </c>
      <c r="AL5" s="25">
        <v>1390.65</v>
      </c>
      <c r="AM5" s="25">
        <v>1390.65</v>
      </c>
      <c r="AN5" s="25">
        <v>1390.65</v>
      </c>
      <c r="AP5" s="25">
        <v>1390.65</v>
      </c>
      <c r="AQ5" s="25">
        <v>1390.65</v>
      </c>
      <c r="AR5" s="25">
        <v>1390.65</v>
      </c>
      <c r="AS5" s="5"/>
      <c r="AT5" s="5"/>
      <c r="AU5" s="5"/>
      <c r="AV5" s="5"/>
      <c r="AW5" s="5"/>
      <c r="AX5" s="5"/>
      <c r="AY5" s="5"/>
      <c r="AZ5" s="5"/>
      <c r="BA5" s="5"/>
    </row>
    <row r="6">
      <c r="A6" s="41" t="s">
        <v>35</v>
      </c>
      <c r="B6" s="25"/>
      <c r="C6" s="25"/>
      <c r="D6" s="25"/>
      <c r="E6" s="25"/>
      <c r="F6" s="25"/>
      <c r="G6" s="25"/>
      <c r="H6" s="25"/>
      <c r="I6" s="25">
        <v>3000.0</v>
      </c>
      <c r="J6" s="25"/>
      <c r="K6" s="25"/>
      <c r="L6" s="25"/>
      <c r="M6" s="42"/>
      <c r="N6" s="4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42"/>
      <c r="AB6" s="42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41" t="s">
        <v>36</v>
      </c>
      <c r="B7" s="5"/>
      <c r="C7" s="5"/>
      <c r="D7" s="5"/>
      <c r="E7" s="5"/>
      <c r="F7" s="5"/>
      <c r="G7" s="5"/>
      <c r="H7" s="5"/>
      <c r="I7" s="5"/>
      <c r="J7" s="5"/>
      <c r="K7" s="25">
        <v>60.0</v>
      </c>
      <c r="L7" s="5"/>
      <c r="M7" s="29"/>
      <c r="N7" s="29"/>
      <c r="O7" s="5"/>
      <c r="P7" s="25">
        <v>174.29</v>
      </c>
      <c r="Q7" s="5"/>
      <c r="R7" s="5"/>
      <c r="S7" s="43">
        <v>283.64</v>
      </c>
      <c r="T7" s="25"/>
      <c r="U7" s="43">
        <v>120.53</v>
      </c>
      <c r="V7" s="25">
        <v>15.0</v>
      </c>
      <c r="W7" s="25">
        <v>15.0</v>
      </c>
      <c r="X7" s="25">
        <v>54.0</v>
      </c>
      <c r="Y7" s="25">
        <v>54.0</v>
      </c>
      <c r="Z7" s="25">
        <v>54.0</v>
      </c>
      <c r="AA7" s="29"/>
      <c r="AB7" s="29"/>
      <c r="AC7" s="25">
        <v>54.0</v>
      </c>
      <c r="AD7" s="25">
        <v>54.0</v>
      </c>
      <c r="AE7" s="25">
        <v>54.0</v>
      </c>
      <c r="AF7" s="25">
        <v>54.0</v>
      </c>
      <c r="AG7" s="25">
        <v>54.0</v>
      </c>
      <c r="AH7" s="5"/>
      <c r="AI7" s="5"/>
      <c r="AJ7" s="43">
        <v>582.69</v>
      </c>
      <c r="AK7" s="5"/>
      <c r="AL7" s="25">
        <v>103.0</v>
      </c>
      <c r="AM7" s="25">
        <v>103.0</v>
      </c>
      <c r="AN7" s="25">
        <v>103.0</v>
      </c>
      <c r="AP7" s="25">
        <v>103.0</v>
      </c>
      <c r="AQ7" s="25">
        <v>103.0</v>
      </c>
      <c r="AR7" s="25">
        <v>103.0</v>
      </c>
      <c r="AS7" s="5"/>
      <c r="AT7" s="5"/>
      <c r="AU7" s="5"/>
      <c r="AV7" s="5"/>
      <c r="AW7" s="5"/>
      <c r="AX7" s="5"/>
      <c r="AY7" s="5"/>
      <c r="AZ7" s="5"/>
      <c r="BA7" s="5"/>
    </row>
    <row r="8">
      <c r="A8" s="41"/>
      <c r="B8" s="5"/>
      <c r="C8" s="5"/>
      <c r="D8" s="5"/>
      <c r="E8" s="5"/>
      <c r="F8" s="5"/>
      <c r="G8" s="5"/>
      <c r="H8" s="5"/>
      <c r="I8" s="5"/>
      <c r="J8" s="5"/>
      <c r="K8" s="25"/>
      <c r="L8" s="5"/>
      <c r="M8" s="29"/>
      <c r="N8" s="29"/>
      <c r="O8" s="5"/>
      <c r="P8" s="25">
        <v>187.81</v>
      </c>
      <c r="Q8" s="5"/>
      <c r="R8" s="5"/>
      <c r="S8" s="25"/>
      <c r="T8" s="5"/>
      <c r="U8" s="25"/>
      <c r="V8" s="5"/>
      <c r="W8" s="5"/>
      <c r="X8" s="5"/>
      <c r="Y8" s="5"/>
      <c r="Z8" s="5"/>
      <c r="AA8" s="29"/>
      <c r="AB8" s="29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41" t="s">
        <v>37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9"/>
      <c r="N9" s="29"/>
      <c r="O9" s="5"/>
      <c r="P9" s="5"/>
      <c r="Q9" s="5"/>
      <c r="R9" s="5"/>
      <c r="S9" s="43">
        <v>374.64</v>
      </c>
      <c r="T9" s="25"/>
      <c r="U9" s="25"/>
      <c r="V9" s="25"/>
      <c r="W9" s="25"/>
      <c r="X9" s="25"/>
      <c r="Y9" s="25"/>
      <c r="Z9" s="25"/>
      <c r="AA9" s="29"/>
      <c r="AB9" s="29"/>
      <c r="AC9" s="25">
        <v>15.0</v>
      </c>
      <c r="AD9" s="25">
        <v>130.0</v>
      </c>
      <c r="AE9" s="25">
        <v>130.0</v>
      </c>
      <c r="AF9" s="25">
        <v>130.0</v>
      </c>
      <c r="AG9" s="25">
        <v>130.0</v>
      </c>
      <c r="AH9" s="25"/>
      <c r="AI9" s="25"/>
      <c r="AJ9" s="25"/>
      <c r="AK9" s="25"/>
      <c r="AL9" s="25"/>
      <c r="AM9" s="25"/>
      <c r="AN9" s="25"/>
      <c r="AP9" s="25">
        <v>54.0</v>
      </c>
      <c r="AQ9" s="25">
        <v>54.0</v>
      </c>
      <c r="AR9" s="25">
        <v>54.0</v>
      </c>
      <c r="AS9" s="5"/>
      <c r="AT9" s="5"/>
      <c r="AU9" s="5"/>
      <c r="AV9" s="5"/>
      <c r="AW9" s="5"/>
      <c r="AX9" s="5"/>
      <c r="AY9" s="5"/>
      <c r="AZ9" s="5"/>
      <c r="BA9" s="5"/>
    </row>
    <row r="10">
      <c r="A10" s="4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29"/>
      <c r="N10" s="29"/>
      <c r="O10" s="5"/>
      <c r="P10" s="5"/>
      <c r="Q10" s="5"/>
      <c r="R10" s="5"/>
      <c r="S10" s="25"/>
      <c r="T10" s="25"/>
      <c r="U10" s="25"/>
      <c r="V10" s="25"/>
      <c r="W10" s="43">
        <v>814.12</v>
      </c>
      <c r="X10" s="25"/>
      <c r="Y10" s="25"/>
      <c r="Z10" s="25"/>
      <c r="AA10" s="29"/>
      <c r="AB10" s="29"/>
      <c r="AC10" s="25"/>
      <c r="AD10" s="25">
        <v>643.68</v>
      </c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41" t="s">
        <v>38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29"/>
      <c r="N11" s="29"/>
      <c r="O11" s="5"/>
      <c r="P11" s="5"/>
      <c r="Q11" s="5"/>
      <c r="R11" s="5"/>
      <c r="S11" s="5"/>
      <c r="T11" s="25">
        <v>12.6</v>
      </c>
      <c r="U11" s="25">
        <v>12.6</v>
      </c>
      <c r="V11" s="25">
        <v>12.6</v>
      </c>
      <c r="W11" s="25">
        <v>12.6</v>
      </c>
      <c r="X11" s="25">
        <v>12.6</v>
      </c>
      <c r="Y11" s="25">
        <v>12.6</v>
      </c>
      <c r="Z11" s="25">
        <v>12.6</v>
      </c>
      <c r="AA11" s="29"/>
      <c r="AB11" s="29"/>
      <c r="AC11" s="43">
        <v>90.0</v>
      </c>
      <c r="AD11" s="5"/>
      <c r="AE11" s="5"/>
      <c r="AF11" s="5"/>
      <c r="AG11" s="5"/>
      <c r="AH11" s="25"/>
      <c r="AI11" s="25"/>
      <c r="AJ11" s="25"/>
      <c r="AK11" s="43">
        <v>36.0</v>
      </c>
      <c r="AL11" s="25">
        <v>10.0</v>
      </c>
      <c r="AM11" s="25" t="s">
        <v>39</v>
      </c>
      <c r="AN11" s="2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4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29"/>
      <c r="N12" s="29"/>
      <c r="O12" s="5"/>
      <c r="P12" s="5"/>
      <c r="Q12" s="5"/>
      <c r="R12" s="5"/>
      <c r="S12" s="5"/>
      <c r="T12" s="25"/>
      <c r="U12" s="25"/>
      <c r="V12" s="43">
        <v>1000.0</v>
      </c>
      <c r="W12" s="25"/>
      <c r="X12" s="25"/>
      <c r="Y12" s="25"/>
      <c r="Z12" s="25"/>
      <c r="AA12" s="29"/>
      <c r="AB12" s="29"/>
      <c r="AC12" s="5"/>
      <c r="AD12" s="5"/>
      <c r="AE12" s="5"/>
      <c r="AF12" s="5"/>
      <c r="AG12" s="5"/>
      <c r="AH12" s="25"/>
      <c r="AI12" s="25"/>
      <c r="AJ12" s="25"/>
      <c r="AK12" s="25"/>
      <c r="AL12" s="25"/>
      <c r="AM12" s="25"/>
      <c r="AN12" s="2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41" t="s">
        <v>40</v>
      </c>
      <c r="B13" s="25"/>
      <c r="C13" s="25"/>
      <c r="D13" s="25"/>
      <c r="E13" s="25"/>
      <c r="F13" s="25"/>
      <c r="G13" s="25"/>
      <c r="H13" s="25"/>
      <c r="I13" s="25">
        <v>7.99</v>
      </c>
      <c r="J13" s="25">
        <v>7.99</v>
      </c>
      <c r="K13" s="25">
        <v>7.99</v>
      </c>
      <c r="L13" s="25">
        <v>7.99</v>
      </c>
      <c r="M13" s="29"/>
      <c r="N13" s="29"/>
      <c r="O13" s="25">
        <v>7.99</v>
      </c>
      <c r="P13" s="25">
        <v>7.99</v>
      </c>
      <c r="Q13" s="25">
        <v>7.99</v>
      </c>
      <c r="R13" s="25">
        <v>7.99</v>
      </c>
      <c r="S13" s="25">
        <v>7.99</v>
      </c>
      <c r="T13" s="25">
        <v>7.99</v>
      </c>
      <c r="U13" s="25">
        <v>7.99</v>
      </c>
      <c r="V13" s="25">
        <v>7.99</v>
      </c>
      <c r="W13" s="25">
        <v>7.99</v>
      </c>
      <c r="X13" s="25">
        <v>7.99</v>
      </c>
      <c r="Y13" s="25">
        <v>7.99</v>
      </c>
      <c r="Z13" s="25">
        <v>7.99</v>
      </c>
      <c r="AA13" s="29"/>
      <c r="AB13" s="29"/>
      <c r="AC13" s="25">
        <v>7.99</v>
      </c>
      <c r="AD13" s="25">
        <v>7.99</v>
      </c>
      <c r="AE13" s="25">
        <v>7.99</v>
      </c>
      <c r="AF13" s="25">
        <v>7.99</v>
      </c>
      <c r="AG13" s="25">
        <v>7.99</v>
      </c>
      <c r="AH13" s="25">
        <v>7.99</v>
      </c>
      <c r="AI13" s="25">
        <v>7.99</v>
      </c>
      <c r="AJ13" s="5"/>
      <c r="AK13" s="5"/>
      <c r="AL13" s="5"/>
      <c r="AM13" s="5"/>
      <c r="AN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41" t="s">
        <v>41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9"/>
      <c r="N14" s="29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9"/>
      <c r="AB14" s="29"/>
      <c r="AC14" s="25"/>
      <c r="AD14" s="25"/>
      <c r="AE14" s="25"/>
      <c r="AF14" s="25"/>
      <c r="AG14" s="25"/>
      <c r="AH14" s="25"/>
      <c r="AI14" s="25"/>
      <c r="AJ14" s="25">
        <v>12.0</v>
      </c>
      <c r="AK14" s="25">
        <v>12.0</v>
      </c>
      <c r="AL14" s="25">
        <v>12.0</v>
      </c>
      <c r="AM14" s="25">
        <v>12.0</v>
      </c>
      <c r="AN14" s="25">
        <v>12.0</v>
      </c>
      <c r="AP14" s="25">
        <v>12.0</v>
      </c>
      <c r="AQ14" s="25">
        <v>12.0</v>
      </c>
      <c r="AR14" s="25">
        <v>12.0</v>
      </c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41" t="s">
        <v>42</v>
      </c>
      <c r="B15" s="25"/>
      <c r="C15" s="25"/>
      <c r="D15" s="25"/>
      <c r="E15" s="25"/>
      <c r="F15" s="25"/>
      <c r="G15" s="25"/>
      <c r="H15" s="25"/>
      <c r="I15" s="25">
        <v>5.18</v>
      </c>
      <c r="J15" s="25">
        <v>5.18</v>
      </c>
      <c r="K15" s="25">
        <v>5.18</v>
      </c>
      <c r="L15" s="25">
        <v>5.18</v>
      </c>
      <c r="M15" s="42"/>
      <c r="N15" s="42"/>
      <c r="O15" s="25">
        <v>5.18</v>
      </c>
      <c r="P15" s="25">
        <v>5.18</v>
      </c>
      <c r="Q15" s="25">
        <v>5.18</v>
      </c>
      <c r="R15" s="25">
        <v>5.18</v>
      </c>
      <c r="S15" s="25">
        <v>5.18</v>
      </c>
      <c r="T15" s="25">
        <v>5.18</v>
      </c>
      <c r="U15" s="25">
        <v>5.18</v>
      </c>
      <c r="V15" s="25">
        <v>5.18</v>
      </c>
      <c r="W15" s="25">
        <v>5.18</v>
      </c>
      <c r="X15" s="25">
        <v>5.18</v>
      </c>
      <c r="Y15" s="25">
        <v>5.18</v>
      </c>
      <c r="Z15" s="25">
        <v>5.68</v>
      </c>
      <c r="AA15" s="42"/>
      <c r="AB15" s="42"/>
      <c r="AC15" s="25">
        <v>5.68</v>
      </c>
      <c r="AD15" s="25">
        <v>5.75</v>
      </c>
      <c r="AE15" s="25">
        <v>5.75</v>
      </c>
      <c r="AF15" s="25">
        <v>5.75</v>
      </c>
      <c r="AG15" s="25">
        <v>5.75</v>
      </c>
      <c r="AH15" s="25">
        <v>5.75</v>
      </c>
      <c r="AI15" s="25">
        <v>5.75</v>
      </c>
      <c r="AJ15" s="25">
        <v>5.75</v>
      </c>
      <c r="AK15" s="25">
        <v>5.75</v>
      </c>
      <c r="AL15" s="25">
        <v>5.75</v>
      </c>
      <c r="AM15" s="25">
        <v>5.75</v>
      </c>
      <c r="AN15" s="25">
        <v>5.75</v>
      </c>
      <c r="AP15" s="25">
        <v>5.75</v>
      </c>
      <c r="AQ15" s="25">
        <v>5.75</v>
      </c>
      <c r="AR15" s="25">
        <v>5.75</v>
      </c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41" t="s">
        <v>43</v>
      </c>
      <c r="B16" s="25"/>
      <c r="C16" s="25"/>
      <c r="D16" s="25"/>
      <c r="E16" s="25"/>
      <c r="F16" s="25"/>
      <c r="G16" s="25"/>
      <c r="H16" s="25"/>
      <c r="I16" s="25"/>
      <c r="J16" s="25"/>
      <c r="K16" s="43">
        <v>19.34</v>
      </c>
      <c r="L16" s="25"/>
      <c r="M16" s="42"/>
      <c r="N16" s="42"/>
      <c r="O16" s="25"/>
      <c r="P16" s="43">
        <v>131.04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42"/>
      <c r="AB16" s="42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41" t="s">
        <v>44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42"/>
      <c r="N17" s="42"/>
      <c r="O17" s="25"/>
      <c r="P17" s="25"/>
      <c r="Q17" s="25"/>
      <c r="S17" s="25"/>
      <c r="T17" s="25"/>
      <c r="U17" s="25"/>
      <c r="V17" s="25"/>
      <c r="W17" s="43">
        <v>64.0</v>
      </c>
      <c r="X17" s="25"/>
      <c r="Y17" s="25"/>
      <c r="Z17" s="25"/>
      <c r="AA17" s="42"/>
      <c r="AB17" s="42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4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42"/>
      <c r="N18" s="4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42"/>
      <c r="AB18" s="42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44" t="s">
        <v>45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42"/>
      <c r="N19" s="4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42"/>
      <c r="AB19" s="42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41" t="s">
        <v>46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42"/>
      <c r="N20" s="4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42"/>
      <c r="AB20" s="42"/>
      <c r="AC20" s="25"/>
      <c r="AD20" s="25"/>
      <c r="AE20" s="25"/>
      <c r="AF20" s="25"/>
      <c r="AG20" s="25">
        <v>20.0</v>
      </c>
      <c r="AH20" s="25">
        <v>20.0</v>
      </c>
      <c r="AI20" s="25">
        <v>20.0</v>
      </c>
      <c r="AJ20" s="25">
        <v>20.0</v>
      </c>
      <c r="AK20" s="25">
        <v>20.0</v>
      </c>
      <c r="AL20" s="25">
        <v>20.0</v>
      </c>
      <c r="AM20" s="25">
        <v>20.0</v>
      </c>
      <c r="AN20" s="25">
        <v>20.0</v>
      </c>
      <c r="AP20" s="25">
        <v>20.0</v>
      </c>
      <c r="AQ20" s="25">
        <v>20.0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>
      <c r="A21" s="41" t="s">
        <v>47</v>
      </c>
      <c r="B21" s="5"/>
      <c r="C21" s="5"/>
      <c r="D21" s="5"/>
      <c r="E21" s="5"/>
      <c r="F21" s="5"/>
      <c r="G21" s="5"/>
      <c r="H21" s="5"/>
      <c r="I21" s="5"/>
      <c r="J21" s="5"/>
      <c r="K21" s="25"/>
      <c r="L21" s="5"/>
      <c r="M21" s="29"/>
      <c r="N21" s="29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29"/>
      <c r="AB21" s="29"/>
      <c r="AC21" s="5"/>
      <c r="AD21" s="5"/>
      <c r="AE21" s="5"/>
      <c r="AF21" s="5"/>
      <c r="AG21" s="5"/>
      <c r="AH21" s="5"/>
      <c r="AI21" s="5"/>
      <c r="AJ21" s="25"/>
      <c r="AK21" s="5"/>
      <c r="AL21" s="5"/>
      <c r="AM21" s="25">
        <v>12.0</v>
      </c>
      <c r="AN21" s="25">
        <v>12.0</v>
      </c>
      <c r="AP21" s="25">
        <v>12.0</v>
      </c>
      <c r="AQ21" s="25">
        <v>12.0</v>
      </c>
      <c r="AR21" s="25">
        <v>12.0</v>
      </c>
      <c r="AS21" s="5"/>
      <c r="AT21" s="5"/>
      <c r="AU21" s="5"/>
      <c r="AV21" s="5"/>
      <c r="AW21" s="5"/>
      <c r="AX21" s="5"/>
      <c r="AY21" s="5"/>
      <c r="AZ21" s="5"/>
      <c r="BA21" s="5"/>
    </row>
    <row r="22">
      <c r="A22" s="41" t="s">
        <v>48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29"/>
      <c r="N22" s="29"/>
      <c r="O22" s="5"/>
      <c r="P22" s="5"/>
      <c r="Q22" s="5"/>
      <c r="R22" s="5"/>
      <c r="S22" s="5"/>
      <c r="T22" s="5"/>
      <c r="U22" s="5"/>
      <c r="V22" s="5"/>
      <c r="W22" s="5"/>
      <c r="X22" s="25"/>
      <c r="Y22" s="25"/>
      <c r="Z22" s="25"/>
      <c r="AC22" s="25"/>
      <c r="AD22" s="25"/>
      <c r="AE22" s="25"/>
      <c r="AF22" s="25"/>
      <c r="AG22" s="25"/>
      <c r="AH22" s="25"/>
      <c r="AI22" s="45"/>
      <c r="AJ22" s="45"/>
      <c r="AK22" s="5"/>
      <c r="AL22" s="25">
        <v>46.8</v>
      </c>
      <c r="AM22" s="5"/>
      <c r="AN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>
      <c r="A23" s="41" t="s">
        <v>49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29"/>
      <c r="N23" s="29"/>
      <c r="P23" s="5"/>
      <c r="Q23" s="5"/>
      <c r="R23" s="5"/>
      <c r="S23" s="5"/>
      <c r="T23" s="5"/>
      <c r="U23" s="5"/>
      <c r="V23" s="5"/>
      <c r="W23" s="5"/>
      <c r="X23" s="25">
        <v>14.16</v>
      </c>
      <c r="Y23" s="25">
        <v>14.16</v>
      </c>
      <c r="Z23" s="25">
        <v>14.16</v>
      </c>
      <c r="AC23" s="25">
        <v>14.16</v>
      </c>
      <c r="AD23" s="25">
        <v>14.16</v>
      </c>
      <c r="AE23" s="25">
        <v>14.16</v>
      </c>
      <c r="AF23" s="25">
        <v>14.16</v>
      </c>
      <c r="AG23" s="25">
        <v>14.16</v>
      </c>
      <c r="AH23" s="25">
        <v>14.16</v>
      </c>
      <c r="AI23" s="43">
        <v>14.01</v>
      </c>
      <c r="AJ23" s="43">
        <v>21.9</v>
      </c>
      <c r="AK23" s="25" t="s">
        <v>50</v>
      </c>
      <c r="AL23" s="25" t="s">
        <v>50</v>
      </c>
      <c r="AM23" s="25" t="s">
        <v>50</v>
      </c>
      <c r="AN23" s="25" t="s">
        <v>50</v>
      </c>
      <c r="AP23" s="25" t="s">
        <v>50</v>
      </c>
      <c r="AQ23" s="25" t="s">
        <v>50</v>
      </c>
      <c r="AR23" s="25" t="s">
        <v>51</v>
      </c>
      <c r="AS23" s="5"/>
      <c r="AT23" s="5"/>
      <c r="AU23" s="5"/>
      <c r="AV23" s="5"/>
      <c r="AW23" s="5"/>
      <c r="AX23" s="5"/>
      <c r="AY23" s="5"/>
      <c r="AZ23" s="5"/>
      <c r="BA23" s="5"/>
    </row>
    <row r="24">
      <c r="A24" s="46" t="s">
        <v>52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29"/>
      <c r="N24" s="29"/>
      <c r="O24" s="5"/>
      <c r="P24" s="5"/>
      <c r="Q24" s="5"/>
      <c r="R24" s="5"/>
      <c r="S24" s="5"/>
      <c r="T24" s="5"/>
      <c r="U24" s="5"/>
      <c r="V24" s="5"/>
      <c r="W24" s="5"/>
      <c r="X24" s="25"/>
      <c r="Y24" s="25"/>
      <c r="Z24" s="25"/>
      <c r="AC24" s="25"/>
      <c r="AD24" s="25"/>
      <c r="AE24" s="25"/>
      <c r="AF24" s="25"/>
      <c r="AG24" s="25"/>
      <c r="AH24" s="25"/>
      <c r="AI24" s="45"/>
      <c r="AJ24" s="45"/>
      <c r="AK24" s="5"/>
      <c r="AL24" s="25"/>
      <c r="AM24" s="5"/>
      <c r="AN24" s="5"/>
      <c r="AP24" s="25">
        <v>103.0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>
      <c r="A25" s="4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9"/>
      <c r="N25" s="29"/>
      <c r="O25" s="5"/>
      <c r="P25" s="5"/>
      <c r="Q25" s="5"/>
      <c r="R25" s="5"/>
      <c r="S25" s="5"/>
      <c r="T25" s="5"/>
      <c r="U25" s="5"/>
      <c r="V25" s="5"/>
      <c r="W25" s="5"/>
      <c r="X25" s="25"/>
      <c r="Y25" s="25"/>
      <c r="Z25" s="25"/>
      <c r="AC25" s="25"/>
      <c r="AD25" s="25"/>
      <c r="AE25" s="25"/>
      <c r="AF25" s="25"/>
      <c r="AG25" s="25"/>
      <c r="AH25" s="25"/>
      <c r="AI25" s="45"/>
      <c r="AJ25" s="45"/>
      <c r="AK25" s="5"/>
      <c r="AL25" s="25"/>
      <c r="AM25" s="5"/>
      <c r="AN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>
      <c r="A26" s="44" t="s">
        <v>53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9"/>
      <c r="N26" s="29"/>
      <c r="O26" s="5"/>
      <c r="P26" s="5"/>
      <c r="Q26" s="5"/>
      <c r="R26" s="5"/>
      <c r="S26" s="5"/>
      <c r="T26" s="5"/>
      <c r="U26" s="5"/>
      <c r="V26" s="5"/>
      <c r="W26" s="5"/>
      <c r="X26" s="25"/>
      <c r="Y26" s="25"/>
      <c r="Z26" s="25"/>
      <c r="AC26" s="25"/>
      <c r="AD26" s="25"/>
      <c r="AE26" s="25"/>
      <c r="AF26" s="25"/>
      <c r="AG26" s="25"/>
      <c r="AH26" s="25"/>
      <c r="AI26" s="45"/>
      <c r="AJ26" s="45"/>
      <c r="AK26" s="5"/>
      <c r="AL26" s="25"/>
      <c r="AM26" s="5"/>
      <c r="AN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>
      <c r="A27" s="41" t="s">
        <v>54</v>
      </c>
      <c r="B27" s="5"/>
      <c r="C27" s="5"/>
      <c r="D27" s="5"/>
      <c r="E27" s="5"/>
      <c r="F27" s="5"/>
      <c r="G27" s="5"/>
      <c r="H27" s="5"/>
      <c r="I27" s="5"/>
      <c r="J27" s="5"/>
      <c r="K27" s="25">
        <v>142.8</v>
      </c>
      <c r="L27" s="5"/>
      <c r="M27" s="29"/>
      <c r="N27" s="29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29"/>
      <c r="AB27" s="29"/>
      <c r="AC27" s="5"/>
      <c r="AD27" s="5"/>
      <c r="AE27" s="5"/>
      <c r="AF27" s="5"/>
      <c r="AG27" s="5"/>
      <c r="AH27" s="5"/>
      <c r="AI27" s="5"/>
      <c r="AJ27" s="25" t="s">
        <v>55</v>
      </c>
      <c r="AK27" s="5"/>
      <c r="AL27" s="5"/>
      <c r="AM27" s="5"/>
      <c r="AN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>
      <c r="A28" s="41" t="s">
        <v>56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9"/>
      <c r="N28" s="29"/>
      <c r="O28" s="47"/>
      <c r="P28" s="5"/>
      <c r="Q28" s="5"/>
      <c r="R28" s="5"/>
      <c r="S28" s="5"/>
      <c r="T28" s="5"/>
      <c r="U28" s="25">
        <v>25.04</v>
      </c>
      <c r="V28" s="5"/>
      <c r="W28" s="5"/>
      <c r="X28" s="5"/>
      <c r="Y28" s="5"/>
      <c r="Z28" s="5"/>
      <c r="AA28" s="29"/>
      <c r="AB28" s="29"/>
      <c r="AC28" s="5"/>
      <c r="AD28" s="5"/>
      <c r="AE28" s="5"/>
      <c r="AF28" s="5"/>
      <c r="AG28" s="5"/>
      <c r="AH28" s="5"/>
      <c r="AI28" s="43">
        <v>18.26</v>
      </c>
      <c r="AJ28" s="43">
        <v>18.46</v>
      </c>
      <c r="AK28" s="25">
        <v>13.78</v>
      </c>
      <c r="AL28" s="5"/>
      <c r="AM28" s="5"/>
      <c r="AN28" s="15">
        <v>18.46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>
      <c r="A29" s="41" t="s">
        <v>57</v>
      </c>
      <c r="B29" s="25"/>
      <c r="C29" s="25"/>
      <c r="D29" s="25"/>
      <c r="E29" s="25"/>
      <c r="F29" s="25"/>
      <c r="G29" s="25"/>
      <c r="H29" s="25"/>
      <c r="I29" s="25"/>
      <c r="J29" s="25"/>
      <c r="K29" s="11">
        <v>49.89</v>
      </c>
      <c r="L29" s="11">
        <v>13.98</v>
      </c>
      <c r="M29" s="42"/>
      <c r="N29" s="42"/>
      <c r="O29" s="43">
        <v>13.98</v>
      </c>
      <c r="P29" s="25">
        <v>13.98</v>
      </c>
      <c r="Q29" s="25">
        <v>13.98</v>
      </c>
      <c r="R29" s="25">
        <v>13.98</v>
      </c>
      <c r="S29" s="25">
        <v>13.98</v>
      </c>
      <c r="T29" s="25">
        <v>13.98</v>
      </c>
      <c r="U29" s="25">
        <v>13.98</v>
      </c>
      <c r="V29" s="25">
        <v>13.98</v>
      </c>
      <c r="W29" s="25">
        <v>13.98</v>
      </c>
      <c r="X29" s="25">
        <v>25.27</v>
      </c>
      <c r="Y29" s="25">
        <v>38.98</v>
      </c>
      <c r="Z29" s="25">
        <v>38.98</v>
      </c>
      <c r="AC29" s="25">
        <v>38.98</v>
      </c>
      <c r="AD29" s="25">
        <v>38.98</v>
      </c>
      <c r="AE29" s="25">
        <v>38.98</v>
      </c>
      <c r="AF29" s="25">
        <v>38.98</v>
      </c>
      <c r="AG29" s="25">
        <v>38.98</v>
      </c>
      <c r="AH29" s="25">
        <v>38.98</v>
      </c>
      <c r="AI29" s="25">
        <v>38.98</v>
      </c>
      <c r="AJ29" s="25">
        <v>38.98</v>
      </c>
      <c r="AK29" s="43">
        <v>38.98</v>
      </c>
      <c r="AL29" s="25">
        <v>45.48</v>
      </c>
      <c r="AM29" s="25" t="s">
        <v>58</v>
      </c>
      <c r="AN29" s="25" t="s">
        <v>59</v>
      </c>
      <c r="AP29" s="25">
        <v>32.76</v>
      </c>
      <c r="AQ29" s="25">
        <v>32.76</v>
      </c>
      <c r="AR29" s="25">
        <v>32.76</v>
      </c>
      <c r="AS29" s="5"/>
      <c r="AT29" s="5"/>
      <c r="AU29" s="5"/>
      <c r="AV29" s="5"/>
      <c r="AW29" s="5"/>
      <c r="AX29" s="5"/>
      <c r="AY29" s="5"/>
      <c r="AZ29" s="5"/>
      <c r="BA29" s="5"/>
    </row>
    <row r="30">
      <c r="A30" s="41"/>
      <c r="B30" s="25"/>
      <c r="C30" s="25"/>
      <c r="D30" s="25"/>
      <c r="E30" s="25"/>
      <c r="F30" s="25"/>
      <c r="G30" s="25"/>
      <c r="H30" s="25"/>
      <c r="I30" s="25"/>
      <c r="J30" s="25"/>
      <c r="K30" s="43"/>
      <c r="L30" s="25"/>
      <c r="M30" s="42"/>
      <c r="N30" s="4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C30" s="25"/>
      <c r="AD30" s="25"/>
      <c r="AE30" s="25"/>
      <c r="AF30" s="25"/>
      <c r="AG30" s="45"/>
      <c r="AH30" s="45"/>
      <c r="AI30" s="25"/>
      <c r="AJ30" s="25"/>
      <c r="AK30" s="25"/>
      <c r="AL30" s="25"/>
      <c r="AM30" s="25"/>
      <c r="AN30" s="2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>
      <c r="A31" s="41" t="s">
        <v>60</v>
      </c>
      <c r="B31" s="25"/>
      <c r="C31" s="25"/>
      <c r="D31" s="25"/>
      <c r="E31" s="25"/>
      <c r="F31" s="25"/>
      <c r="G31" s="25"/>
      <c r="H31" s="25"/>
      <c r="I31" s="25"/>
      <c r="J31" s="25"/>
      <c r="K31" s="43">
        <v>30.73</v>
      </c>
      <c r="L31" s="25"/>
      <c r="M31" s="42"/>
      <c r="N31" s="4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C31" s="25"/>
      <c r="AD31" s="25"/>
      <c r="AE31" s="25"/>
      <c r="AF31" s="25"/>
      <c r="AG31" s="43">
        <v>14.28</v>
      </c>
      <c r="AH31" s="43">
        <v>16.81</v>
      </c>
      <c r="AI31" s="25"/>
      <c r="AJ31" s="25"/>
      <c r="AK31" s="25"/>
      <c r="AL31" s="25"/>
      <c r="AM31" s="25"/>
      <c r="AN31" s="2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>
      <c r="A32" s="41"/>
      <c r="B32" s="25"/>
      <c r="C32" s="25"/>
      <c r="D32" s="25"/>
      <c r="E32" s="25"/>
      <c r="F32" s="25"/>
      <c r="G32" s="25"/>
      <c r="H32" s="25"/>
      <c r="I32" s="25"/>
      <c r="J32" s="25"/>
      <c r="K32" s="43"/>
      <c r="L32" s="25"/>
      <c r="M32" s="42"/>
      <c r="N32" s="4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C32" s="25"/>
      <c r="AD32" s="25"/>
      <c r="AE32" s="25"/>
      <c r="AF32" s="25"/>
      <c r="AG32" s="15">
        <v>21.27</v>
      </c>
      <c r="AH32" s="45"/>
      <c r="AI32" s="25"/>
      <c r="AJ32" s="25"/>
      <c r="AK32" s="25"/>
      <c r="AL32" s="25"/>
      <c r="AM32" s="25"/>
      <c r="AN32" s="2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>
      <c r="A33" s="41"/>
      <c r="B33" s="25"/>
      <c r="C33" s="25"/>
      <c r="D33" s="25"/>
      <c r="E33" s="25"/>
      <c r="F33" s="25"/>
      <c r="G33" s="25"/>
      <c r="H33" s="25"/>
      <c r="I33" s="25"/>
      <c r="J33" s="25"/>
      <c r="K33" s="43">
        <v>82.76</v>
      </c>
      <c r="L33" s="25"/>
      <c r="M33" s="42"/>
      <c r="N33" s="4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C33" s="25"/>
      <c r="AD33" s="25"/>
      <c r="AE33" s="25"/>
      <c r="AF33" s="25"/>
      <c r="AG33" s="45"/>
      <c r="AH33" s="45"/>
      <c r="AI33" s="25"/>
      <c r="AJ33" s="25"/>
      <c r="AK33" s="25"/>
      <c r="AL33" s="25"/>
      <c r="AM33" s="25"/>
      <c r="AN33" s="2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>
      <c r="A34" s="41" t="s">
        <v>61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42"/>
      <c r="N34" s="42"/>
      <c r="O34" s="25"/>
      <c r="P34" s="25"/>
      <c r="Q34" s="25"/>
      <c r="R34" s="43">
        <v>162.8</v>
      </c>
      <c r="S34" s="43">
        <v>200.0</v>
      </c>
      <c r="T34" s="43">
        <v>1000.0</v>
      </c>
      <c r="U34" s="25"/>
      <c r="V34" s="43">
        <v>31.0</v>
      </c>
      <c r="W34" s="25"/>
      <c r="X34" s="25"/>
      <c r="Y34" s="25">
        <v>64.0</v>
      </c>
      <c r="Z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>
      <c r="A35" s="4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42"/>
      <c r="N35" s="42"/>
      <c r="O35" s="48"/>
      <c r="P35" s="25"/>
      <c r="Q35" s="25"/>
      <c r="R35" s="43"/>
      <c r="S35" s="43"/>
      <c r="T35" s="25"/>
      <c r="U35" s="25"/>
      <c r="V35" s="43">
        <v>130.0</v>
      </c>
      <c r="W35" s="25"/>
      <c r="X35" s="25"/>
      <c r="Y35" s="25"/>
      <c r="Z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>
      <c r="A36" s="41" t="s">
        <v>62</v>
      </c>
      <c r="B36" s="25"/>
      <c r="C36" s="25"/>
      <c r="D36" s="25"/>
      <c r="E36" s="25"/>
      <c r="F36" s="25"/>
      <c r="G36" s="25"/>
      <c r="H36" s="25"/>
      <c r="I36" s="25">
        <v>7.49</v>
      </c>
      <c r="J36" s="25">
        <v>7.49</v>
      </c>
      <c r="K36" s="25">
        <v>7.49</v>
      </c>
      <c r="L36" s="25">
        <v>7.49</v>
      </c>
      <c r="M36" s="49"/>
      <c r="N36" s="42"/>
      <c r="O36" s="48">
        <v>7.49</v>
      </c>
      <c r="P36" s="25">
        <v>7.49</v>
      </c>
      <c r="Q36" s="25">
        <v>7.49</v>
      </c>
      <c r="R36" s="25">
        <v>7.49</v>
      </c>
      <c r="S36" s="25">
        <v>7.49</v>
      </c>
      <c r="T36" s="25">
        <v>7.49</v>
      </c>
      <c r="U36" s="25">
        <v>7.49</v>
      </c>
      <c r="V36" s="25">
        <v>7.49</v>
      </c>
      <c r="W36" s="25">
        <v>7.49</v>
      </c>
      <c r="X36" s="25">
        <v>7.49</v>
      </c>
      <c r="Y36" s="25">
        <v>7.49</v>
      </c>
      <c r="Z36" s="25">
        <v>7.49</v>
      </c>
      <c r="AC36" s="25">
        <v>7.49</v>
      </c>
      <c r="AD36" s="25">
        <v>7.49</v>
      </c>
      <c r="AE36" s="25">
        <v>7.49</v>
      </c>
      <c r="AF36" s="25">
        <v>7.49</v>
      </c>
      <c r="AG36" s="25">
        <v>7.49</v>
      </c>
      <c r="AH36" s="25">
        <v>7.49</v>
      </c>
      <c r="AI36" s="25">
        <v>7.49</v>
      </c>
      <c r="AJ36" s="25">
        <v>7.49</v>
      </c>
      <c r="AK36" s="25">
        <v>7.49</v>
      </c>
      <c r="AL36" s="25">
        <v>7.49</v>
      </c>
      <c r="AM36" s="25">
        <v>7.49</v>
      </c>
      <c r="AN36" s="25">
        <v>7.49</v>
      </c>
      <c r="AP36" s="25">
        <v>7.49</v>
      </c>
      <c r="AQ36" s="25">
        <v>7.49</v>
      </c>
      <c r="AR36" s="25">
        <v>7.49</v>
      </c>
      <c r="AS36" s="5"/>
      <c r="AT36" s="5"/>
      <c r="AU36" s="5"/>
      <c r="AV36" s="5"/>
      <c r="AW36" s="5"/>
      <c r="AX36" s="5"/>
      <c r="AY36" s="5"/>
      <c r="AZ36" s="5"/>
      <c r="BA36" s="5"/>
    </row>
    <row r="37">
      <c r="A37" s="44" t="s">
        <v>63</v>
      </c>
      <c r="B37" s="22"/>
      <c r="C37" s="22"/>
      <c r="D37" s="22"/>
      <c r="E37" s="22"/>
      <c r="F37" s="22"/>
      <c r="G37" s="22"/>
      <c r="H37" s="22"/>
      <c r="I37" s="22">
        <f t="shared" ref="I37:L37" si="1">SUM(I5:I34)</f>
        <v>3643.87</v>
      </c>
      <c r="J37" s="22">
        <f t="shared" si="1"/>
        <v>1274.57</v>
      </c>
      <c r="K37" s="22">
        <f t="shared" si="1"/>
        <v>1660.09</v>
      </c>
      <c r="L37" s="22">
        <f t="shared" si="1"/>
        <v>1288.55</v>
      </c>
      <c r="M37" s="22">
        <f>SUM(I37:L37)</f>
        <v>7867.08</v>
      </c>
      <c r="N37" s="50"/>
      <c r="O37" s="22">
        <f t="shared" ref="O37:Z37" si="2">SUM(O5:O34)</f>
        <v>1288.55</v>
      </c>
      <c r="P37" s="22">
        <f t="shared" si="2"/>
        <v>1781.69</v>
      </c>
      <c r="Q37" s="22">
        <f t="shared" si="2"/>
        <v>1288.55</v>
      </c>
      <c r="R37" s="22">
        <f t="shared" si="2"/>
        <v>1451.35</v>
      </c>
      <c r="S37" s="22">
        <f t="shared" si="2"/>
        <v>2146.83</v>
      </c>
      <c r="T37" s="22">
        <f t="shared" si="2"/>
        <v>2301.15</v>
      </c>
      <c r="U37" s="22">
        <f t="shared" si="2"/>
        <v>1446.72</v>
      </c>
      <c r="V37" s="22">
        <f t="shared" si="2"/>
        <v>2347.15</v>
      </c>
      <c r="W37" s="22">
        <f t="shared" si="2"/>
        <v>2194.27</v>
      </c>
      <c r="X37" s="22">
        <f t="shared" si="2"/>
        <v>1443.67</v>
      </c>
      <c r="Y37" s="22">
        <f t="shared" si="2"/>
        <v>1521.38</v>
      </c>
      <c r="Z37" s="22">
        <f t="shared" si="2"/>
        <v>1457.88</v>
      </c>
      <c r="AA37" s="22">
        <f>SUM(O37:Z37)</f>
        <v>20669.19</v>
      </c>
      <c r="AC37" s="22">
        <f t="shared" ref="AC37:AF37" si="3">SUM(AC4:AC34)</f>
        <v>1550.28</v>
      </c>
      <c r="AD37" s="22">
        <f t="shared" si="3"/>
        <v>2219.03</v>
      </c>
      <c r="AE37" s="22">
        <f t="shared" si="3"/>
        <v>1575.35</v>
      </c>
      <c r="AF37" s="22">
        <f t="shared" si="3"/>
        <v>1575.35</v>
      </c>
      <c r="AG37" s="22">
        <f>SUM(AG4:AG36)</f>
        <v>1638.39</v>
      </c>
      <c r="AH37" s="22">
        <f t="shared" ref="AH37:AN37" si="4">SUM(AH4:AH34)</f>
        <v>1428.16</v>
      </c>
      <c r="AI37" s="22">
        <f t="shared" si="4"/>
        <v>1429.46</v>
      </c>
      <c r="AJ37" s="22">
        <f t="shared" si="4"/>
        <v>2024.25</v>
      </c>
      <c r="AK37" s="22">
        <f t="shared" si="4"/>
        <v>1450.98</v>
      </c>
      <c r="AL37" s="22">
        <f t="shared" si="4"/>
        <v>1633.68</v>
      </c>
      <c r="AM37" s="22">
        <f t="shared" si="4"/>
        <v>1543.4</v>
      </c>
      <c r="AN37" s="22">
        <f t="shared" si="4"/>
        <v>1561.86</v>
      </c>
      <c r="AO37" s="4">
        <f>SUM(AC37:AN37)</f>
        <v>19630.19</v>
      </c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</row>
    <row r="38"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>
      <c r="A39" s="52" t="s">
        <v>64</v>
      </c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</row>
    <row r="40">
      <c r="A40" s="41" t="s">
        <v>65</v>
      </c>
      <c r="B40" s="45"/>
      <c r="C40" s="45"/>
      <c r="D40" s="45"/>
      <c r="E40" s="45"/>
      <c r="F40" s="45"/>
      <c r="G40" s="45"/>
      <c r="H40" s="45"/>
      <c r="I40" s="43">
        <v>116.81</v>
      </c>
      <c r="J40" s="5"/>
      <c r="K40" s="5"/>
      <c r="L40" s="5"/>
      <c r="M40" s="29"/>
      <c r="N40" s="29"/>
      <c r="O40" s="5"/>
      <c r="P40" s="5"/>
      <c r="Q40" s="25">
        <v>119.0</v>
      </c>
      <c r="R40" s="5"/>
      <c r="S40" s="5"/>
      <c r="T40" s="5"/>
      <c r="U40" s="5"/>
      <c r="V40" s="25">
        <v>95.34</v>
      </c>
      <c r="W40" s="5"/>
      <c r="X40" s="5"/>
      <c r="Y40" s="25">
        <v>95.34</v>
      </c>
      <c r="Z40" s="5"/>
      <c r="AA40" s="29"/>
      <c r="AB40" s="29"/>
      <c r="AC40" s="5"/>
      <c r="AD40" s="15">
        <v>86.61</v>
      </c>
      <c r="AE40" s="25"/>
      <c r="AF40" s="5"/>
      <c r="AG40" s="5"/>
      <c r="AH40" s="43">
        <v>103.3</v>
      </c>
      <c r="AI40" s="43">
        <v>544.71</v>
      </c>
      <c r="AJ40" s="25"/>
      <c r="AK40" s="5"/>
      <c r="AL40" s="5"/>
      <c r="AM40" s="25"/>
      <c r="AN40" s="5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>
      <c r="A41" s="41"/>
      <c r="B41" s="25"/>
      <c r="C41" s="25"/>
      <c r="D41" s="25"/>
      <c r="E41" s="25"/>
      <c r="F41" s="25"/>
      <c r="G41" s="25"/>
      <c r="H41" s="25"/>
      <c r="I41" s="25"/>
      <c r="J41" s="5"/>
      <c r="K41" s="5"/>
      <c r="L41" s="5"/>
      <c r="M41" s="29"/>
      <c r="N41" s="29"/>
      <c r="O41" s="5"/>
      <c r="P41" s="5"/>
      <c r="Q41" s="43">
        <v>129.41</v>
      </c>
      <c r="R41" s="5"/>
      <c r="S41" s="5"/>
      <c r="T41" s="5"/>
      <c r="U41" s="5"/>
      <c r="V41" s="25"/>
      <c r="W41" s="5"/>
      <c r="X41" s="5"/>
      <c r="Y41" s="25"/>
      <c r="Z41" s="5"/>
      <c r="AA41" s="29"/>
      <c r="AB41" s="29"/>
      <c r="AC41" s="5"/>
      <c r="AD41" s="25"/>
      <c r="AE41" s="25"/>
      <c r="AF41" s="5"/>
      <c r="AG41" s="5"/>
      <c r="AH41" s="5"/>
      <c r="AI41" s="5"/>
      <c r="AJ41" s="25"/>
      <c r="AK41" s="5"/>
      <c r="AL41" s="5"/>
      <c r="AM41" s="25"/>
      <c r="AN41" s="5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>
      <c r="A42" s="41"/>
      <c r="B42" s="25"/>
      <c r="C42" s="25"/>
      <c r="D42" s="25"/>
      <c r="E42" s="25"/>
      <c r="F42" s="25"/>
      <c r="G42" s="25"/>
      <c r="H42" s="25"/>
      <c r="I42" s="25"/>
      <c r="J42" s="5"/>
      <c r="K42" s="5"/>
      <c r="L42" s="5"/>
      <c r="M42" s="29"/>
      <c r="N42" s="29"/>
      <c r="O42" s="5"/>
      <c r="P42" s="5"/>
      <c r="Q42" s="25">
        <v>154.0</v>
      </c>
      <c r="R42" s="5"/>
      <c r="S42" s="5"/>
      <c r="T42" s="5"/>
      <c r="U42" s="5"/>
      <c r="V42" s="25"/>
      <c r="W42" s="5"/>
      <c r="X42" s="5"/>
      <c r="Y42" s="25"/>
      <c r="Z42" s="5"/>
      <c r="AA42" s="29"/>
      <c r="AB42" s="29"/>
      <c r="AC42" s="5"/>
      <c r="AD42" s="25"/>
      <c r="AE42" s="25"/>
      <c r="AF42" s="5"/>
      <c r="AG42" s="5"/>
      <c r="AH42" s="5"/>
      <c r="AI42" s="5"/>
      <c r="AJ42" s="25"/>
      <c r="AK42" s="5"/>
      <c r="AL42" s="5"/>
      <c r="AM42" s="25"/>
      <c r="AN42" s="5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>
      <c r="A43" s="41" t="s">
        <v>66</v>
      </c>
      <c r="B43" s="25"/>
      <c r="C43" s="25"/>
      <c r="D43" s="25"/>
      <c r="E43" s="25"/>
      <c r="F43" s="25"/>
      <c r="G43" s="25"/>
      <c r="H43" s="25"/>
      <c r="I43" s="43">
        <v>395.55</v>
      </c>
      <c r="J43" s="43">
        <v>245.0</v>
      </c>
      <c r="K43" s="25"/>
      <c r="L43" s="43">
        <v>372.2</v>
      </c>
      <c r="M43" s="29"/>
      <c r="N43" s="29"/>
      <c r="O43" s="5"/>
      <c r="P43" s="5"/>
      <c r="Q43" s="5"/>
      <c r="R43" s="43">
        <v>242.55</v>
      </c>
      <c r="S43" s="5"/>
      <c r="T43" s="5"/>
      <c r="U43" s="5"/>
      <c r="V43" s="43">
        <v>261.21</v>
      </c>
      <c r="W43" s="43">
        <v>13.3</v>
      </c>
      <c r="X43" s="45"/>
      <c r="Y43" s="25">
        <v>265.9</v>
      </c>
      <c r="Z43" s="5"/>
      <c r="AA43" s="29"/>
      <c r="AB43" s="29"/>
      <c r="AC43" s="45"/>
      <c r="AD43" s="53">
        <v>428.5</v>
      </c>
      <c r="AE43" s="5"/>
      <c r="AF43" s="43">
        <v>340.08</v>
      </c>
      <c r="AG43" s="5"/>
      <c r="AH43" s="5"/>
      <c r="AI43" s="43">
        <v>223.0</v>
      </c>
      <c r="AJ43" s="25"/>
      <c r="AK43" s="5"/>
      <c r="AL43" s="54">
        <v>273.0</v>
      </c>
      <c r="AM43" s="25"/>
      <c r="AN43" s="5"/>
      <c r="AP43" s="28" t="s">
        <v>67</v>
      </c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</row>
    <row r="44">
      <c r="A44" s="41"/>
      <c r="B44" s="45"/>
      <c r="C44" s="45"/>
      <c r="D44" s="45"/>
      <c r="E44" s="45"/>
      <c r="F44" s="45"/>
      <c r="G44" s="45"/>
      <c r="H44" s="45"/>
      <c r="I44" s="43">
        <v>134.92</v>
      </c>
      <c r="J44" s="54">
        <v>294.0</v>
      </c>
      <c r="K44" s="25"/>
      <c r="L44" s="25"/>
      <c r="M44" s="29"/>
      <c r="N44" s="29"/>
      <c r="O44" s="5"/>
      <c r="P44" s="5"/>
      <c r="Q44" s="5"/>
      <c r="R44" s="43">
        <v>314.06</v>
      </c>
      <c r="S44" s="5"/>
      <c r="T44" s="5"/>
      <c r="U44" s="5"/>
      <c r="V44" s="25"/>
      <c r="W44" s="5"/>
      <c r="X44" s="5"/>
      <c r="Y44" s="25"/>
      <c r="Z44" s="5"/>
      <c r="AA44" s="29"/>
      <c r="AB44" s="29"/>
      <c r="AC44" s="25"/>
      <c r="AD44" s="5"/>
      <c r="AE44" s="5"/>
      <c r="AF44" s="5"/>
      <c r="AG44" s="5"/>
      <c r="AH44" s="5"/>
      <c r="AI44" s="5"/>
      <c r="AJ44" s="25"/>
      <c r="AK44" s="5"/>
      <c r="AL44" s="5"/>
      <c r="AM44" s="25"/>
      <c r="AN44" s="5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</row>
    <row r="45">
      <c r="A45" s="41"/>
      <c r="B45" s="45"/>
      <c r="C45" s="45"/>
      <c r="D45" s="45"/>
      <c r="E45" s="45"/>
      <c r="F45" s="45"/>
      <c r="G45" s="45"/>
      <c r="H45" s="45"/>
      <c r="I45" s="43">
        <v>160.0</v>
      </c>
      <c r="J45" s="5"/>
      <c r="K45" s="25"/>
      <c r="L45" s="25"/>
      <c r="M45" s="29"/>
      <c r="N45" s="29"/>
      <c r="O45" s="5"/>
      <c r="P45" s="5"/>
      <c r="Q45" s="5"/>
      <c r="R45" s="25"/>
      <c r="S45" s="5"/>
      <c r="T45" s="5"/>
      <c r="U45" s="5"/>
      <c r="V45" s="25"/>
      <c r="W45" s="5"/>
      <c r="X45" s="5"/>
      <c r="Y45" s="25"/>
      <c r="Z45" s="5"/>
      <c r="AA45" s="29"/>
      <c r="AB45" s="29"/>
      <c r="AC45" s="25"/>
      <c r="AD45" s="29"/>
      <c r="AE45" s="5"/>
      <c r="AF45" s="5"/>
      <c r="AG45" s="5"/>
      <c r="AH45" s="5"/>
      <c r="AI45" s="5"/>
      <c r="AJ45" s="25"/>
      <c r="AK45" s="5"/>
      <c r="AL45" s="5"/>
      <c r="AM45" s="25"/>
      <c r="AN45" s="5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</row>
    <row r="46">
      <c r="A46" s="41" t="s">
        <v>68</v>
      </c>
      <c r="B46" s="25"/>
      <c r="C46" s="25"/>
      <c r="D46" s="55">
        <v>44682.0</v>
      </c>
      <c r="E46" s="25"/>
      <c r="F46" s="25"/>
      <c r="G46" s="25"/>
      <c r="H46" s="25"/>
      <c r="I46" s="25">
        <v>350.84</v>
      </c>
      <c r="J46" s="5"/>
      <c r="K46" s="5"/>
      <c r="L46" s="5"/>
      <c r="M46" s="29"/>
      <c r="N46" s="29"/>
      <c r="O46" s="5"/>
      <c r="P46" s="5"/>
      <c r="Q46" s="25">
        <v>100.97</v>
      </c>
      <c r="R46" s="25">
        <v>57.38</v>
      </c>
      <c r="S46" s="5"/>
      <c r="T46" s="5"/>
      <c r="U46" s="5"/>
      <c r="V46" s="43">
        <v>193.61</v>
      </c>
      <c r="W46" s="5"/>
      <c r="X46" s="5"/>
      <c r="Y46" s="5"/>
      <c r="Z46" s="5"/>
      <c r="AA46" s="29"/>
      <c r="AB46" s="29"/>
      <c r="AC46" s="25"/>
      <c r="AE46" s="43">
        <v>93.18</v>
      </c>
      <c r="AF46" s="5"/>
      <c r="AG46" s="43">
        <v>130.6</v>
      </c>
      <c r="AH46" s="5"/>
      <c r="AI46" s="5"/>
      <c r="AJ46" s="43">
        <v>64.44</v>
      </c>
      <c r="AK46" s="43">
        <v>128.88</v>
      </c>
      <c r="AL46" s="5"/>
      <c r="AM46" s="5"/>
      <c r="AN46" s="5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</row>
    <row r="47">
      <c r="A47" s="41"/>
      <c r="B47" s="25"/>
      <c r="C47" s="25"/>
      <c r="D47" s="25"/>
      <c r="E47" s="25"/>
      <c r="F47" s="25"/>
      <c r="G47" s="25"/>
      <c r="H47" s="25"/>
      <c r="I47" s="25"/>
      <c r="J47" s="5"/>
      <c r="K47" s="5"/>
      <c r="L47" s="5"/>
      <c r="M47" s="29"/>
      <c r="N47" s="29"/>
      <c r="O47" s="5"/>
      <c r="P47" s="5"/>
      <c r="Q47" s="25"/>
      <c r="R47" s="25"/>
      <c r="S47" s="5"/>
      <c r="T47" s="5"/>
      <c r="U47" s="5"/>
      <c r="V47" s="25"/>
      <c r="W47" s="5"/>
      <c r="X47" s="5"/>
      <c r="Y47" s="5"/>
      <c r="Z47" s="5"/>
      <c r="AA47" s="29"/>
      <c r="AB47" s="29"/>
      <c r="AC47" s="25"/>
      <c r="AD47" s="43">
        <v>130.6</v>
      </c>
      <c r="AE47" s="5"/>
      <c r="AF47" s="5"/>
      <c r="AG47" s="5"/>
      <c r="AH47" s="5"/>
      <c r="AI47" s="5"/>
      <c r="AJ47" s="5"/>
      <c r="AK47" s="54">
        <v>58.04</v>
      </c>
      <c r="AL47" s="5"/>
      <c r="AM47" s="5"/>
      <c r="AN47" s="5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</row>
    <row r="48">
      <c r="A48" s="41"/>
      <c r="B48" s="25"/>
      <c r="C48" s="25"/>
      <c r="D48" s="25"/>
      <c r="E48" s="25"/>
      <c r="F48" s="25"/>
      <c r="G48" s="25"/>
      <c r="H48" s="25"/>
      <c r="I48" s="25"/>
      <c r="J48" s="5"/>
      <c r="K48" s="29"/>
      <c r="L48" s="5"/>
      <c r="M48" s="29"/>
      <c r="N48" s="29"/>
      <c r="O48" s="5"/>
      <c r="P48" s="5"/>
      <c r="Q48" s="25"/>
      <c r="R48" s="25"/>
      <c r="S48" s="5"/>
      <c r="T48" s="5"/>
      <c r="U48" s="5"/>
      <c r="V48" s="25"/>
      <c r="W48" s="5"/>
      <c r="X48" s="5"/>
      <c r="Y48" s="5"/>
      <c r="Z48" s="5"/>
      <c r="AA48" s="29"/>
      <c r="AB48" s="29"/>
      <c r="AC48" s="25"/>
      <c r="AD48" s="15"/>
      <c r="AE48" s="5"/>
      <c r="AF48" s="5"/>
      <c r="AG48" s="5"/>
      <c r="AH48" s="5"/>
      <c r="AI48" s="5"/>
      <c r="AJ48" s="5"/>
      <c r="AK48" s="43">
        <v>58.04</v>
      </c>
      <c r="AL48" s="5"/>
      <c r="AM48" s="5"/>
      <c r="AN48" s="5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>
      <c r="A49" s="41"/>
      <c r="B49" s="5"/>
      <c r="C49" s="5"/>
      <c r="D49" s="5"/>
      <c r="E49" s="5"/>
      <c r="F49" s="5"/>
      <c r="G49" s="5"/>
      <c r="H49" s="5"/>
      <c r="I49" s="5"/>
      <c r="J49" s="5"/>
      <c r="L49" s="5"/>
      <c r="M49" s="29"/>
      <c r="N49" s="29"/>
      <c r="O49" s="5"/>
      <c r="P49" s="5"/>
      <c r="Q49" s="25"/>
      <c r="R49" s="25"/>
      <c r="S49" s="5"/>
      <c r="T49" s="5"/>
      <c r="U49" s="5"/>
      <c r="V49" s="5"/>
      <c r="W49" s="5"/>
      <c r="X49" s="5"/>
      <c r="Y49" s="5"/>
      <c r="Z49" s="5"/>
      <c r="AA49" s="29"/>
      <c r="AB49" s="29"/>
      <c r="AC49" s="25"/>
      <c r="AD49" s="25"/>
      <c r="AE49" s="5"/>
      <c r="AF49" s="5"/>
      <c r="AG49" s="5"/>
      <c r="AH49" s="25"/>
      <c r="AI49" s="5"/>
      <c r="AJ49" s="5"/>
      <c r="AK49" s="43">
        <v>151.8</v>
      </c>
      <c r="AL49" s="5"/>
      <c r="AM49" s="5"/>
      <c r="AN49" s="5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>
      <c r="A50" s="41" t="s">
        <v>69</v>
      </c>
      <c r="B50" s="5"/>
      <c r="C50" s="5"/>
      <c r="D50" s="5"/>
      <c r="E50" s="5"/>
      <c r="F50" s="5"/>
      <c r="G50" s="5"/>
      <c r="H50" s="5"/>
      <c r="I50" s="5"/>
      <c r="J50" s="5"/>
      <c r="L50" s="5"/>
      <c r="M50" s="29"/>
      <c r="N50" s="29"/>
      <c r="O50" s="5"/>
      <c r="P50" s="5"/>
      <c r="Q50" s="25"/>
      <c r="R50" s="25"/>
      <c r="S50" s="5"/>
      <c r="T50" s="5"/>
      <c r="U50" s="5"/>
      <c r="V50" s="5"/>
      <c r="W50" s="5"/>
      <c r="X50" s="5"/>
      <c r="Y50" s="5"/>
      <c r="Z50" s="5"/>
      <c r="AA50" s="29"/>
      <c r="AB50" s="29"/>
      <c r="AC50" s="25"/>
      <c r="AD50" s="25"/>
      <c r="AE50" s="5"/>
      <c r="AF50" s="5"/>
      <c r="AG50" s="5"/>
      <c r="AH50" s="45">
        <v>227.43</v>
      </c>
      <c r="AI50" s="5"/>
      <c r="AJ50" s="5"/>
      <c r="AK50" s="5"/>
      <c r="AL50" s="5"/>
      <c r="AM50" s="5"/>
      <c r="AN50" s="5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>
      <c r="A51" s="41" t="s">
        <v>70</v>
      </c>
      <c r="B51" s="45"/>
      <c r="C51" s="45"/>
      <c r="D51" s="43">
        <v>141.06</v>
      </c>
      <c r="E51" s="45"/>
      <c r="F51" s="45"/>
      <c r="G51" s="45"/>
      <c r="H51" s="45"/>
      <c r="I51" s="43">
        <v>98.66</v>
      </c>
      <c r="J51" s="5"/>
      <c r="K51" s="5"/>
      <c r="L51" s="5"/>
      <c r="M51" s="29"/>
      <c r="N51" s="29"/>
      <c r="O51" s="5"/>
      <c r="P51" s="5"/>
      <c r="Q51" s="25"/>
      <c r="R51" s="56">
        <v>61.34</v>
      </c>
      <c r="S51" s="5"/>
      <c r="T51" s="5"/>
      <c r="U51" s="5"/>
      <c r="V51" s="5"/>
      <c r="W51" s="5"/>
      <c r="X51" s="5"/>
      <c r="Y51" s="5"/>
      <c r="Z51" s="5"/>
      <c r="AA51" s="29"/>
      <c r="AB51" s="29"/>
      <c r="AC51" s="25"/>
      <c r="AD51" s="25"/>
      <c r="AE51" s="5"/>
      <c r="AF51" s="5"/>
      <c r="AG51" s="5"/>
      <c r="AH51" s="5"/>
      <c r="AI51" s="5"/>
      <c r="AJ51" s="5"/>
      <c r="AK51" s="5"/>
      <c r="AL51" s="25"/>
      <c r="AM51" s="5"/>
      <c r="AN51" s="5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>
      <c r="A52" s="41" t="s">
        <v>60</v>
      </c>
      <c r="B52" s="45"/>
      <c r="C52" s="45"/>
      <c r="D52" s="45"/>
      <c r="E52" s="45"/>
      <c r="F52" s="43">
        <v>53.27</v>
      </c>
      <c r="G52" s="45"/>
      <c r="H52" s="45"/>
      <c r="I52" s="5"/>
      <c r="J52" s="5"/>
      <c r="K52" s="15">
        <v>30.73</v>
      </c>
      <c r="L52" s="43">
        <v>30.73</v>
      </c>
      <c r="M52" s="29"/>
      <c r="N52" s="29"/>
      <c r="O52" s="5"/>
      <c r="P52" s="43">
        <v>131.04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29"/>
      <c r="AB52" s="29"/>
      <c r="AC52" s="25">
        <v>140.0</v>
      </c>
      <c r="AD52" s="5"/>
      <c r="AE52" s="5"/>
      <c r="AF52" s="5"/>
      <c r="AG52" s="5"/>
      <c r="AH52" s="25">
        <v>20.0</v>
      </c>
      <c r="AI52" s="5"/>
      <c r="AJ52" s="5"/>
      <c r="AK52" s="5"/>
      <c r="AL52" s="5"/>
      <c r="AM52" s="5"/>
      <c r="AN52" s="5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>
      <c r="L53" s="53">
        <v>82.76</v>
      </c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>
      <c r="A54" s="41"/>
      <c r="B54" s="5"/>
      <c r="C54" s="5"/>
      <c r="D54" s="5"/>
      <c r="E54" s="5"/>
      <c r="F54" s="5"/>
      <c r="G54" s="5"/>
      <c r="H54" s="5"/>
      <c r="I54" s="5"/>
      <c r="J54" s="5"/>
      <c r="K54" s="54">
        <v>82.76</v>
      </c>
      <c r="L54" s="5"/>
      <c r="M54" s="29"/>
      <c r="N54" s="29"/>
      <c r="O54" s="5"/>
      <c r="P54" s="25"/>
      <c r="Q54" s="5"/>
      <c r="R54" s="5"/>
      <c r="S54" s="5"/>
      <c r="T54" s="5"/>
      <c r="U54" s="5"/>
      <c r="V54" s="5"/>
      <c r="W54" s="5"/>
      <c r="X54" s="5"/>
      <c r="Y54" s="5"/>
      <c r="Z54" s="5"/>
      <c r="AA54" s="29"/>
      <c r="AB54" s="29"/>
      <c r="AC54" s="25"/>
      <c r="AD54" s="5"/>
      <c r="AE54" s="5"/>
      <c r="AF54" s="5"/>
      <c r="AG54" s="5"/>
      <c r="AH54" s="25">
        <v>36.3</v>
      </c>
      <c r="AI54" s="5"/>
      <c r="AJ54" s="5"/>
      <c r="AK54" s="5"/>
      <c r="AL54" s="5"/>
      <c r="AM54" s="5"/>
      <c r="AN54" s="5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>
      <c r="A55" s="41" t="s">
        <v>71</v>
      </c>
      <c r="B55" s="25"/>
      <c r="C55" s="25"/>
      <c r="D55" s="25"/>
      <c r="E55" s="25"/>
      <c r="F55" s="25"/>
      <c r="G55" s="25"/>
      <c r="H55" s="25"/>
      <c r="I55" s="25">
        <v>110.29</v>
      </c>
      <c r="J55" s="5"/>
      <c r="K55" s="5"/>
      <c r="L55" s="5"/>
      <c r="M55" s="29"/>
      <c r="N55" s="29"/>
      <c r="O55" s="5"/>
      <c r="P55" s="25"/>
      <c r="Q55" s="5"/>
      <c r="R55" s="5"/>
      <c r="S55" s="5"/>
      <c r="T55" s="5"/>
      <c r="U55" s="5"/>
      <c r="V55" s="5"/>
      <c r="W55" s="5"/>
      <c r="X55" s="5"/>
      <c r="Y55" s="5"/>
      <c r="Z55" s="5"/>
      <c r="AD55" s="26">
        <v>23.34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>
      <c r="A56" s="41" t="s">
        <v>72</v>
      </c>
      <c r="B56" s="25"/>
      <c r="C56" s="25"/>
      <c r="D56" s="25"/>
      <c r="E56" s="25"/>
      <c r="F56" s="25"/>
      <c r="G56" s="25"/>
      <c r="H56" s="25"/>
      <c r="I56" s="25">
        <v>5.29</v>
      </c>
      <c r="J56" s="5"/>
      <c r="K56" s="5"/>
      <c r="L56" s="5"/>
      <c r="M56" s="29"/>
      <c r="N56" s="29"/>
      <c r="O56" s="5"/>
      <c r="P56" s="25"/>
      <c r="Q56" s="5"/>
      <c r="R56" s="5"/>
      <c r="S56" s="5"/>
      <c r="T56" s="5"/>
      <c r="U56" s="25">
        <v>20.78</v>
      </c>
      <c r="V56" s="5"/>
      <c r="W56" s="5"/>
      <c r="X56" s="5"/>
      <c r="Y56" s="5"/>
      <c r="Z56" s="5"/>
      <c r="AC56" s="6"/>
      <c r="AD56" s="26"/>
      <c r="AE56" s="6"/>
      <c r="AF56" s="26">
        <v>13.99</v>
      </c>
      <c r="AG56" s="6"/>
      <c r="AH56" s="26">
        <v>9.99</v>
      </c>
      <c r="AI56" s="6"/>
      <c r="AJ56" s="6"/>
      <c r="AK56" s="6"/>
      <c r="AL56" s="6"/>
      <c r="AM56" s="6"/>
      <c r="AN56" s="6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>
      <c r="A57" s="41" t="s">
        <v>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25">
        <v>59.38</v>
      </c>
      <c r="M57" s="29"/>
      <c r="N57" s="29"/>
      <c r="O57" s="25">
        <v>25.15</v>
      </c>
      <c r="P57" s="5"/>
      <c r="Q57" s="25">
        <v>120.16</v>
      </c>
      <c r="R57" s="25">
        <v>66.28</v>
      </c>
      <c r="S57" s="5"/>
      <c r="T57" s="5"/>
      <c r="U57" s="43">
        <v>19.25</v>
      </c>
      <c r="V57" s="5"/>
      <c r="W57" s="5"/>
      <c r="X57" s="5"/>
      <c r="Y57" s="5"/>
      <c r="Z57" s="5"/>
      <c r="AC57" s="57">
        <v>25.15</v>
      </c>
      <c r="AD57" s="26"/>
      <c r="AE57" s="6"/>
      <c r="AF57" s="58">
        <v>24.99</v>
      </c>
      <c r="AG57" s="6"/>
      <c r="AH57" s="26">
        <v>66.0</v>
      </c>
      <c r="AI57" s="57">
        <v>177.15</v>
      </c>
      <c r="AJ57" s="57">
        <v>18.79</v>
      </c>
      <c r="AK57" s="57">
        <v>18.79</v>
      </c>
      <c r="AL57" s="6"/>
      <c r="AM57" s="6"/>
      <c r="AN57" s="6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>
      <c r="A58" s="41"/>
      <c r="B58" s="5"/>
      <c r="C58" s="5"/>
      <c r="D58" s="5"/>
      <c r="E58" s="5"/>
      <c r="F58" s="5"/>
      <c r="G58" s="5"/>
      <c r="H58" s="5"/>
      <c r="I58" s="5"/>
      <c r="J58" s="5"/>
      <c r="K58" s="5"/>
      <c r="L58" s="25"/>
      <c r="M58" s="29"/>
      <c r="N58" s="29"/>
      <c r="O58" s="25"/>
      <c r="P58" s="5"/>
      <c r="Q58" s="25"/>
      <c r="R58" s="25"/>
      <c r="S58" s="5"/>
      <c r="T58" s="5"/>
      <c r="U58" s="25"/>
      <c r="V58" s="5"/>
      <c r="W58" s="5"/>
      <c r="X58" s="5"/>
      <c r="Y58" s="5"/>
      <c r="Z58" s="5"/>
      <c r="AC58" s="6"/>
      <c r="AD58" s="26"/>
      <c r="AE58" s="6"/>
      <c r="AF58" s="59">
        <v>36.56</v>
      </c>
      <c r="AG58" s="6"/>
      <c r="AH58" s="26"/>
      <c r="AI58" s="6"/>
      <c r="AJ58" s="60"/>
      <c r="AK58" s="57">
        <v>21.0</v>
      </c>
      <c r="AL58" s="6"/>
      <c r="AM58" s="6"/>
      <c r="AN58" s="6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>
      <c r="A59" s="41" t="s">
        <v>74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9"/>
      <c r="N59" s="29"/>
      <c r="O59" s="5"/>
      <c r="P59" s="5"/>
      <c r="Q59" s="5"/>
      <c r="R59" s="25">
        <v>32.61</v>
      </c>
      <c r="S59" s="5"/>
      <c r="T59" s="5"/>
      <c r="U59" s="25"/>
      <c r="V59" s="5"/>
      <c r="W59" s="5"/>
      <c r="X59" s="5"/>
      <c r="Y59" s="5"/>
      <c r="Z59" s="5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>
      <c r="A60" s="41"/>
      <c r="B60" s="25"/>
      <c r="C60" s="25"/>
      <c r="D60" s="25"/>
      <c r="E60" s="25"/>
      <c r="F60" s="25"/>
      <c r="G60" s="25"/>
      <c r="H60" s="25"/>
      <c r="I60" s="25"/>
      <c r="J60" s="5"/>
      <c r="K60" s="5"/>
      <c r="L60" s="25">
        <v>47.48</v>
      </c>
      <c r="M60" s="29"/>
      <c r="N60" s="29"/>
      <c r="O60" s="5"/>
      <c r="P60" s="5"/>
      <c r="Q60" s="5"/>
      <c r="R60" s="5"/>
      <c r="S60" s="5"/>
      <c r="T60" s="5"/>
      <c r="U60" s="25"/>
      <c r="V60" s="5"/>
      <c r="W60" s="5"/>
      <c r="X60" s="5"/>
      <c r="Y60" s="5"/>
      <c r="Z60" s="5"/>
      <c r="AC60" s="61"/>
      <c r="AD60" s="61"/>
      <c r="AE60" s="61"/>
      <c r="AF60" s="61"/>
      <c r="AG60" s="61"/>
      <c r="AH60" s="61"/>
      <c r="AI60" s="61"/>
      <c r="AJ60" s="57">
        <v>18.79</v>
      </c>
      <c r="AK60" s="61"/>
      <c r="AL60" s="61"/>
      <c r="AM60" s="61"/>
      <c r="AN60" s="61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>
      <c r="A61" s="41" t="s">
        <v>75</v>
      </c>
      <c r="B61" s="5"/>
      <c r="C61" s="5"/>
      <c r="D61" s="5"/>
      <c r="E61" s="5"/>
      <c r="F61" s="5"/>
      <c r="G61" s="5"/>
      <c r="H61" s="45"/>
      <c r="I61" s="5"/>
      <c r="J61" s="5"/>
      <c r="K61" s="43"/>
      <c r="L61" s="5"/>
      <c r="M61" s="29"/>
      <c r="N61" s="29"/>
      <c r="O61" s="32"/>
      <c r="P61" s="45"/>
      <c r="Q61" s="32"/>
      <c r="R61" s="45"/>
      <c r="S61" s="5"/>
      <c r="T61" s="5"/>
      <c r="U61" s="25"/>
      <c r="V61" s="5"/>
      <c r="W61" s="5"/>
      <c r="X61" s="5"/>
      <c r="Y61" s="5"/>
      <c r="Z61" s="5"/>
      <c r="AC61" s="61"/>
      <c r="AD61" s="61"/>
      <c r="AE61" s="62"/>
      <c r="AF61" s="60"/>
      <c r="AG61" s="63"/>
      <c r="AH61" s="60"/>
      <c r="AI61" s="62"/>
      <c r="AJ61" s="28">
        <v>34.56</v>
      </c>
      <c r="AK61" s="60"/>
      <c r="AL61" s="60"/>
      <c r="AM61" s="62"/>
      <c r="AN61" s="61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>
      <c r="A62" s="41" t="s">
        <v>76</v>
      </c>
      <c r="B62" s="5"/>
      <c r="C62" s="5"/>
      <c r="D62" s="5"/>
      <c r="E62" s="5"/>
      <c r="F62" s="43">
        <v>12.13</v>
      </c>
      <c r="G62" s="5"/>
      <c r="H62" s="54">
        <v>70.43</v>
      </c>
      <c r="I62" s="5"/>
      <c r="J62" s="5"/>
      <c r="K62" s="15">
        <v>15.12</v>
      </c>
      <c r="L62" s="5"/>
      <c r="M62" s="29"/>
      <c r="N62" s="29"/>
      <c r="O62" s="5"/>
      <c r="P62" s="43">
        <v>9.23</v>
      </c>
      <c r="Q62" s="5"/>
      <c r="R62" s="43">
        <v>10.06</v>
      </c>
      <c r="S62" s="5"/>
      <c r="T62" s="5"/>
      <c r="U62" s="25"/>
      <c r="V62" s="5"/>
      <c r="W62" s="5"/>
      <c r="X62" s="5"/>
      <c r="Y62" s="43">
        <v>12.71</v>
      </c>
      <c r="Z62" s="5"/>
      <c r="AC62" s="38"/>
      <c r="AD62" s="38"/>
      <c r="AE62" s="38"/>
      <c r="AF62" s="54">
        <v>39.9</v>
      </c>
      <c r="AG62" s="64">
        <v>12.2</v>
      </c>
      <c r="AH62" s="43">
        <v>16.8</v>
      </c>
      <c r="AI62" s="38"/>
      <c r="AK62" s="45"/>
      <c r="AL62" s="54">
        <v>15.2</v>
      </c>
      <c r="AM62" s="38"/>
      <c r="AN62" s="38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>
      <c r="A63" s="41"/>
      <c r="B63" s="5"/>
      <c r="C63" s="5"/>
      <c r="D63" s="5"/>
      <c r="E63" s="5"/>
      <c r="F63" s="5"/>
      <c r="G63" s="5"/>
      <c r="H63" s="43">
        <v>83.81</v>
      </c>
      <c r="I63" s="5"/>
      <c r="J63" s="5"/>
      <c r="K63" s="25">
        <v>6.4</v>
      </c>
      <c r="L63" s="5"/>
      <c r="M63" s="29"/>
      <c r="N63" s="29"/>
      <c r="O63" s="5"/>
      <c r="P63" s="5"/>
      <c r="Q63" s="5"/>
      <c r="R63" s="43">
        <v>10.06</v>
      </c>
      <c r="S63" s="5"/>
      <c r="T63" s="5"/>
      <c r="U63" s="25"/>
      <c r="V63" s="5"/>
      <c r="W63" s="5"/>
      <c r="X63" s="5"/>
      <c r="Y63" s="5"/>
      <c r="Z63" s="5"/>
      <c r="AC63" s="38"/>
      <c r="AD63" s="38"/>
      <c r="AE63" s="38"/>
      <c r="AF63" s="25"/>
      <c r="AH63" s="43">
        <v>14.28</v>
      </c>
      <c r="AI63" s="38"/>
      <c r="AJ63" s="43">
        <v>74.79</v>
      </c>
      <c r="AK63" s="43">
        <v>10.36</v>
      </c>
      <c r="AM63" s="38"/>
      <c r="AN63" s="38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>
      <c r="A64" s="41"/>
      <c r="B64" s="5"/>
      <c r="C64" s="5"/>
      <c r="D64" s="5"/>
      <c r="E64" s="5"/>
      <c r="F64" s="5"/>
      <c r="G64" s="5"/>
      <c r="H64" s="5"/>
      <c r="I64" s="5"/>
      <c r="J64" s="5"/>
      <c r="K64" s="25"/>
      <c r="L64" s="5"/>
      <c r="M64" s="29"/>
      <c r="N64" s="29"/>
      <c r="O64" s="5"/>
      <c r="P64" s="5"/>
      <c r="Q64" s="5"/>
      <c r="R64" s="65">
        <v>19.32</v>
      </c>
      <c r="S64" s="5"/>
      <c r="T64" s="5"/>
      <c r="U64" s="25"/>
      <c r="V64" s="5"/>
      <c r="W64" s="5"/>
      <c r="X64" s="5"/>
      <c r="Y64" s="5"/>
      <c r="Z64" s="5"/>
      <c r="AC64" s="38"/>
      <c r="AD64" s="38"/>
      <c r="AE64" s="38"/>
      <c r="AF64" s="25"/>
      <c r="AG64" s="38"/>
      <c r="AH64" s="38"/>
      <c r="AI64" s="38"/>
      <c r="AJ64" s="38"/>
      <c r="AK64" s="38"/>
      <c r="AL64" s="38"/>
      <c r="AM64" s="38"/>
      <c r="AN64" s="38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>
      <c r="A65" s="41"/>
      <c r="B65" s="5"/>
      <c r="C65" s="5"/>
      <c r="D65" s="5"/>
      <c r="E65" s="5"/>
      <c r="F65" s="5"/>
      <c r="G65" s="5"/>
      <c r="H65" s="5"/>
      <c r="I65" s="5"/>
      <c r="J65" s="5"/>
      <c r="K65" s="25"/>
      <c r="L65" s="5"/>
      <c r="M65" s="29"/>
      <c r="N65" s="29"/>
      <c r="O65" s="5"/>
      <c r="P65" s="5"/>
      <c r="Q65" s="5"/>
      <c r="S65" s="5"/>
      <c r="T65" s="29"/>
      <c r="U65" s="25"/>
      <c r="V65" s="5"/>
      <c r="W65" s="5"/>
      <c r="X65" s="5"/>
      <c r="Y65" s="5"/>
      <c r="Z65" s="5"/>
      <c r="AC65" s="38"/>
      <c r="AD65" s="38"/>
      <c r="AE65" s="38"/>
      <c r="AF65" s="25"/>
      <c r="AG65" s="38"/>
      <c r="AH65" s="38"/>
      <c r="AI65" s="38"/>
      <c r="AJ65" s="38"/>
      <c r="AK65" s="38"/>
      <c r="AL65" s="38"/>
      <c r="AM65" s="38"/>
      <c r="AN65" s="38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>
      <c r="A66" s="41" t="s">
        <v>77</v>
      </c>
      <c r="B66" s="25"/>
      <c r="C66" s="25"/>
      <c r="D66" s="25"/>
      <c r="E66" s="25"/>
      <c r="F66" s="25"/>
      <c r="G66" s="25"/>
      <c r="H66" s="25"/>
      <c r="I66" s="25">
        <v>151.72</v>
      </c>
      <c r="J66" s="5"/>
      <c r="K66" s="25">
        <v>22.48</v>
      </c>
      <c r="L66" s="54">
        <v>42.82</v>
      </c>
      <c r="M66" s="29"/>
      <c r="N66" s="29"/>
      <c r="O66" s="5"/>
      <c r="P66" s="5"/>
      <c r="Q66" s="5"/>
      <c r="R66" s="25">
        <v>9.99</v>
      </c>
      <c r="S66" s="25">
        <v>120.27</v>
      </c>
      <c r="U66" s="25">
        <v>15.05</v>
      </c>
      <c r="V66" s="5"/>
      <c r="W66" s="25">
        <v>111.4</v>
      </c>
      <c r="X66" s="5"/>
      <c r="Y66" s="5"/>
      <c r="Z66" s="5"/>
      <c r="AC66" s="38"/>
      <c r="AD66" s="38"/>
      <c r="AE66" s="38"/>
      <c r="AF66" s="38"/>
      <c r="AG66" s="38"/>
      <c r="AH66" s="38"/>
      <c r="AI66" s="38"/>
      <c r="AJ66" s="43">
        <v>11.74</v>
      </c>
      <c r="AK66" s="38"/>
      <c r="AL66" s="38"/>
      <c r="AM66" s="38"/>
      <c r="AN66" s="38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>
      <c r="A67" s="41"/>
      <c r="B67" s="25"/>
      <c r="C67" s="25"/>
      <c r="D67" s="25"/>
      <c r="E67" s="25"/>
      <c r="F67" s="25"/>
      <c r="G67" s="25"/>
      <c r="H67" s="25"/>
      <c r="I67" s="25"/>
      <c r="J67" s="5"/>
      <c r="K67" s="25"/>
      <c r="L67" s="43">
        <v>13.95</v>
      </c>
      <c r="M67" s="29"/>
      <c r="N67" s="29"/>
      <c r="O67" s="5"/>
      <c r="P67" s="5"/>
      <c r="Q67" s="5"/>
      <c r="R67" s="25"/>
      <c r="S67" s="25"/>
      <c r="U67" s="25"/>
      <c r="V67" s="5"/>
      <c r="W67" s="25"/>
      <c r="X67" s="5"/>
      <c r="Y67" s="5"/>
      <c r="Z67" s="5"/>
      <c r="AC67" s="38"/>
      <c r="AD67" s="38"/>
      <c r="AE67" s="38"/>
      <c r="AF67" s="38"/>
      <c r="AG67" s="38"/>
      <c r="AH67" s="38"/>
      <c r="AI67" s="38"/>
      <c r="AJ67" s="43">
        <v>34.56</v>
      </c>
      <c r="AK67" s="38"/>
      <c r="AL67" s="38"/>
      <c r="AM67" s="38"/>
      <c r="AN67" s="38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>
      <c r="A68" s="41"/>
      <c r="B68" s="25"/>
      <c r="C68" s="25"/>
      <c r="D68" s="25"/>
      <c r="E68" s="25"/>
      <c r="F68" s="25"/>
      <c r="G68" s="25"/>
      <c r="H68" s="25"/>
      <c r="I68" s="25"/>
      <c r="J68" s="5"/>
      <c r="K68" s="25">
        <v>20.99</v>
      </c>
      <c r="L68" s="25"/>
      <c r="M68" s="29"/>
      <c r="N68" s="29"/>
      <c r="O68" s="5"/>
      <c r="P68" s="5"/>
      <c r="Q68" s="5"/>
      <c r="R68" s="43">
        <v>19.32</v>
      </c>
      <c r="S68" s="43">
        <v>14.28</v>
      </c>
      <c r="T68" s="25">
        <v>31.67</v>
      </c>
      <c r="U68" s="25"/>
      <c r="V68" s="5"/>
      <c r="W68" s="25"/>
      <c r="X68" s="5"/>
      <c r="Y68" s="5"/>
      <c r="Z68" s="5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>
      <c r="A69" s="41" t="s">
        <v>78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29"/>
      <c r="N69" s="29"/>
      <c r="O69" s="5"/>
      <c r="P69" s="5"/>
      <c r="Q69" s="5"/>
      <c r="R69" s="5"/>
      <c r="S69" s="5"/>
      <c r="T69" s="5"/>
      <c r="U69" s="25"/>
      <c r="V69" s="5"/>
      <c r="W69" s="5"/>
      <c r="X69" s="5"/>
      <c r="Y69" s="5"/>
      <c r="Z69" s="5"/>
      <c r="AC69" s="38"/>
      <c r="AD69" s="38"/>
      <c r="AE69" s="38"/>
      <c r="AF69" s="25">
        <v>40.22</v>
      </c>
      <c r="AG69" s="43">
        <v>25.31</v>
      </c>
      <c r="AH69" s="38"/>
      <c r="AI69" s="38"/>
      <c r="AJ69" s="38"/>
      <c r="AK69" s="38"/>
      <c r="AL69" s="38"/>
      <c r="AM69" s="38"/>
      <c r="AN69" s="38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>
      <c r="A70" s="41" t="s">
        <v>79</v>
      </c>
      <c r="B70" s="5"/>
      <c r="C70" s="5"/>
      <c r="D70" s="5"/>
      <c r="E70" s="5"/>
      <c r="F70" s="5"/>
      <c r="G70" s="5"/>
      <c r="H70" s="5"/>
      <c r="I70" s="5"/>
      <c r="J70" s="43">
        <v>14.23</v>
      </c>
      <c r="K70" s="43">
        <v>19.34</v>
      </c>
      <c r="L70" s="5"/>
      <c r="M70" s="29"/>
      <c r="N70" s="29"/>
      <c r="O70" s="5"/>
      <c r="P70" s="5"/>
      <c r="Q70" s="5"/>
      <c r="R70" s="5"/>
      <c r="S70" s="5"/>
      <c r="T70" s="5"/>
      <c r="U70" s="25"/>
      <c r="V70" s="5"/>
      <c r="W70" s="5"/>
      <c r="X70" s="5"/>
      <c r="Y70" s="5"/>
      <c r="Z70" s="5"/>
      <c r="AC70" s="38"/>
      <c r="AD70" s="38"/>
      <c r="AE70" s="38"/>
      <c r="AF70" s="25"/>
      <c r="AG70" s="38"/>
      <c r="AH70" s="38"/>
      <c r="AI70" s="43">
        <v>24.9</v>
      </c>
      <c r="AJ70" s="38"/>
      <c r="AK70" s="38"/>
      <c r="AL70" s="38"/>
      <c r="AM70" s="38"/>
      <c r="AN70" s="38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>
      <c r="A71" s="41" t="s">
        <v>80</v>
      </c>
      <c r="B71" s="43">
        <v>187.5</v>
      </c>
      <c r="C71" s="43"/>
      <c r="D71" s="5"/>
      <c r="E71" s="5"/>
      <c r="F71" s="5"/>
      <c r="G71" s="5"/>
      <c r="H71" s="5"/>
      <c r="I71" s="5"/>
      <c r="J71" s="5"/>
      <c r="K71" s="25"/>
      <c r="L71" s="5"/>
      <c r="M71" s="29"/>
      <c r="N71" s="29"/>
      <c r="O71" s="5"/>
      <c r="P71" s="25">
        <v>150.04</v>
      </c>
      <c r="Q71" s="5"/>
      <c r="R71" s="5"/>
      <c r="S71" s="5"/>
      <c r="T71" s="25">
        <v>28.04</v>
      </c>
      <c r="U71" s="25">
        <v>27.73</v>
      </c>
      <c r="V71" s="25">
        <v>27.16</v>
      </c>
      <c r="W71" s="25">
        <v>26.93</v>
      </c>
      <c r="X71" s="25">
        <v>27.85</v>
      </c>
      <c r="Y71" s="25">
        <v>28.74</v>
      </c>
      <c r="Z71" s="25">
        <v>29.04</v>
      </c>
      <c r="AC71" s="25">
        <v>28.97</v>
      </c>
      <c r="AD71" s="25">
        <v>28.8</v>
      </c>
      <c r="AE71" s="25">
        <v>27.88</v>
      </c>
      <c r="AF71" s="25">
        <v>26.47</v>
      </c>
      <c r="AG71" s="38"/>
      <c r="AH71" s="38"/>
      <c r="AI71" s="38"/>
      <c r="AJ71" s="38"/>
      <c r="AK71" s="38"/>
      <c r="AL71" s="38"/>
      <c r="AM71" s="38"/>
      <c r="AN71" s="38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</row>
    <row r="72">
      <c r="A72" s="41" t="s">
        <v>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29"/>
      <c r="N72" s="29"/>
      <c r="O72" s="5"/>
      <c r="P72" s="25">
        <v>147.98</v>
      </c>
      <c r="Q72" s="5"/>
      <c r="R72" s="5"/>
      <c r="S72" s="25">
        <v>190.36</v>
      </c>
      <c r="T72" s="5"/>
      <c r="U72" s="5"/>
      <c r="V72" s="5"/>
      <c r="W72" s="5"/>
      <c r="X72" s="5"/>
      <c r="Y72" s="5"/>
      <c r="Z72" s="5"/>
      <c r="AC72" s="5"/>
      <c r="AD72" s="43">
        <v>37.82</v>
      </c>
      <c r="AE72" s="5"/>
      <c r="AF72" s="5"/>
      <c r="AG72" s="43">
        <v>170.36</v>
      </c>
      <c r="AH72" s="5"/>
      <c r="AI72" s="5"/>
      <c r="AJ72" s="5"/>
      <c r="AK72" s="5"/>
      <c r="AL72" s="25">
        <v>37.6</v>
      </c>
      <c r="AM72" s="5"/>
      <c r="AN72" s="5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</row>
    <row r="73">
      <c r="A73" s="6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29"/>
      <c r="N73" s="29"/>
      <c r="O73" s="5"/>
      <c r="P73" s="25"/>
      <c r="Q73" s="5"/>
      <c r="R73" s="5"/>
      <c r="S73" s="25"/>
      <c r="T73" s="5"/>
      <c r="U73" s="5"/>
      <c r="V73" s="5"/>
      <c r="W73" s="5"/>
      <c r="X73" s="5"/>
      <c r="Y73" s="5"/>
      <c r="Z73" s="5"/>
      <c r="AC73" s="5"/>
      <c r="AD73" s="25"/>
      <c r="AE73" s="5"/>
      <c r="AF73" s="5"/>
      <c r="AG73" s="43">
        <v>73.18</v>
      </c>
      <c r="AH73" s="5"/>
      <c r="AI73" s="5"/>
      <c r="AJ73" s="5"/>
      <c r="AK73" s="5"/>
      <c r="AL73" s="25"/>
      <c r="AM73" s="5"/>
      <c r="AN73" s="5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</row>
    <row r="74">
      <c r="A74" s="6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29"/>
      <c r="N74" s="29"/>
      <c r="O74" s="5"/>
      <c r="P74" s="25"/>
      <c r="Q74" s="5"/>
      <c r="R74" s="5"/>
      <c r="S74" s="25"/>
      <c r="T74" s="5"/>
      <c r="U74" s="5"/>
      <c r="V74" s="5"/>
      <c r="W74" s="5"/>
      <c r="X74" s="5"/>
      <c r="Y74" s="5"/>
      <c r="Z74" s="5"/>
      <c r="AC74" s="5"/>
      <c r="AD74" s="25"/>
      <c r="AE74" s="5"/>
      <c r="AF74" s="5"/>
      <c r="AG74" s="43">
        <v>19.9</v>
      </c>
      <c r="AH74" s="5"/>
      <c r="AI74" s="5"/>
      <c r="AJ74" s="5"/>
      <c r="AK74" s="5"/>
      <c r="AL74" s="25"/>
      <c r="AM74" s="5"/>
      <c r="AN74" s="5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</row>
    <row r="75">
      <c r="A75" s="66" t="s">
        <v>82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29"/>
      <c r="N75" s="29"/>
      <c r="O75" s="5"/>
      <c r="P75" s="25"/>
      <c r="Q75" s="5"/>
      <c r="R75" s="5"/>
      <c r="S75" s="25"/>
      <c r="T75" s="5"/>
      <c r="U75" s="5"/>
      <c r="V75" s="5"/>
      <c r="W75" s="5"/>
      <c r="X75" s="5"/>
      <c r="Y75" s="5"/>
      <c r="Z75" s="5"/>
      <c r="AC75" s="5"/>
      <c r="AD75" s="25"/>
      <c r="AE75" s="5"/>
      <c r="AF75" s="5"/>
      <c r="AG75" s="5"/>
      <c r="AH75" s="5"/>
      <c r="AI75" s="43">
        <v>250.0</v>
      </c>
      <c r="AJ75" s="5"/>
      <c r="AK75" s="5"/>
      <c r="AL75" s="5"/>
      <c r="AM75" s="5"/>
      <c r="AN75" s="5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</row>
    <row r="76">
      <c r="A76" s="66" t="s">
        <v>83</v>
      </c>
      <c r="B76" s="29"/>
      <c r="C76" s="29"/>
      <c r="D76" s="29"/>
      <c r="E76" s="29"/>
      <c r="F76" s="29"/>
      <c r="G76" s="29"/>
      <c r="H76" s="29"/>
      <c r="I76" s="5"/>
      <c r="J76" s="5"/>
      <c r="K76" s="5"/>
      <c r="L76" s="5"/>
      <c r="M76" s="29"/>
      <c r="N76" s="29"/>
      <c r="O76" s="5"/>
      <c r="P76" s="25"/>
      <c r="Q76" s="5"/>
      <c r="R76" s="5"/>
      <c r="S76" s="25"/>
      <c r="T76" s="5"/>
      <c r="U76" s="5"/>
      <c r="V76" s="5"/>
      <c r="W76" s="5"/>
      <c r="X76" s="5"/>
      <c r="Y76" s="5"/>
      <c r="Z76" s="5"/>
      <c r="AC76" s="5"/>
      <c r="AD76" s="25"/>
      <c r="AE76" s="5"/>
      <c r="AF76" s="5"/>
      <c r="AG76" s="5"/>
      <c r="AH76" s="5"/>
      <c r="AI76" s="43"/>
      <c r="AJ76" s="43">
        <v>18.79</v>
      </c>
      <c r="AK76" s="43">
        <v>18.79</v>
      </c>
      <c r="AL76" s="5"/>
      <c r="AM76" s="5"/>
      <c r="AN76" s="5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</row>
    <row r="77">
      <c r="A77" s="66"/>
      <c r="B77" s="29"/>
      <c r="C77" s="29"/>
      <c r="D77" s="29"/>
      <c r="E77" s="29"/>
      <c r="F77" s="29"/>
      <c r="G77" s="29"/>
      <c r="H77" s="29"/>
      <c r="I77" s="5"/>
      <c r="J77" s="5"/>
      <c r="K77" s="5"/>
      <c r="L77" s="5"/>
      <c r="M77" s="29"/>
      <c r="N77" s="29"/>
      <c r="O77" s="5"/>
      <c r="P77" s="25"/>
      <c r="Q77" s="5"/>
      <c r="R77" s="5"/>
      <c r="S77" s="25"/>
      <c r="T77" s="5"/>
      <c r="U77" s="5"/>
      <c r="V77" s="5"/>
      <c r="W77" s="5"/>
      <c r="X77" s="5"/>
      <c r="Y77" s="5"/>
      <c r="Z77" s="5"/>
      <c r="AC77" s="5"/>
      <c r="AD77" s="25"/>
      <c r="AE77" s="5"/>
      <c r="AF77" s="5"/>
      <c r="AG77" s="5"/>
      <c r="AH77" s="5"/>
      <c r="AI77" s="43"/>
      <c r="AJ77" s="15"/>
      <c r="AK77" s="43">
        <v>21.0</v>
      </c>
      <c r="AL77" s="5"/>
      <c r="AM77" s="5"/>
      <c r="AN77" s="5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</row>
    <row r="78">
      <c r="A78" s="52" t="s">
        <v>63</v>
      </c>
      <c r="B78" s="67"/>
      <c r="C78" s="67"/>
      <c r="D78" s="67"/>
      <c r="E78" s="67"/>
      <c r="F78" s="67"/>
      <c r="G78" s="67"/>
      <c r="H78" s="67"/>
      <c r="I78" s="22">
        <f t="shared" ref="I78:L78" si="5">SUM(I40:I71)</f>
        <v>1524.08</v>
      </c>
      <c r="J78" s="22">
        <f t="shared" si="5"/>
        <v>553.23</v>
      </c>
      <c r="K78" s="22">
        <f t="shared" si="5"/>
        <v>197.82</v>
      </c>
      <c r="L78" s="22">
        <f t="shared" si="5"/>
        <v>649.32</v>
      </c>
      <c r="M78" s="22">
        <f>SUM(I78:L78)</f>
        <v>2924.45</v>
      </c>
      <c r="N78" s="50"/>
      <c r="O78" s="22">
        <f t="shared" ref="O78:R78" si="6">SUM(O40:O71)</f>
        <v>25.15</v>
      </c>
      <c r="P78" s="22">
        <f t="shared" si="6"/>
        <v>290.31</v>
      </c>
      <c r="Q78" s="22">
        <f t="shared" si="6"/>
        <v>623.54</v>
      </c>
      <c r="R78" s="22">
        <f t="shared" si="6"/>
        <v>842.97</v>
      </c>
      <c r="S78" s="22">
        <f>SUM(S40:S72)</f>
        <v>324.91</v>
      </c>
      <c r="T78" s="22">
        <f t="shared" ref="T78:Z78" si="7">SUM(T40:T71)</f>
        <v>59.71</v>
      </c>
      <c r="U78" s="22">
        <f t="shared" si="7"/>
        <v>82.81</v>
      </c>
      <c r="V78" s="22">
        <f t="shared" si="7"/>
        <v>577.32</v>
      </c>
      <c r="W78" s="22">
        <f t="shared" si="7"/>
        <v>151.63</v>
      </c>
      <c r="X78" s="22">
        <f t="shared" si="7"/>
        <v>27.85</v>
      </c>
      <c r="Y78" s="22">
        <f t="shared" si="7"/>
        <v>402.69</v>
      </c>
      <c r="Z78" s="22">
        <f t="shared" si="7"/>
        <v>29.04</v>
      </c>
      <c r="AA78" s="22">
        <f>SUM(O78:Z78)</f>
        <v>3437.93</v>
      </c>
      <c r="AB78" s="29"/>
      <c r="AC78" s="51">
        <f t="shared" ref="AC78:AN78" si="8">SUM(AC40:AC71)</f>
        <v>194.12</v>
      </c>
      <c r="AD78" s="51">
        <f t="shared" si="8"/>
        <v>697.85</v>
      </c>
      <c r="AE78" s="51">
        <f t="shared" si="8"/>
        <v>121.06</v>
      </c>
      <c r="AF78" s="51">
        <f t="shared" si="8"/>
        <v>522.21</v>
      </c>
      <c r="AG78" s="51">
        <f t="shared" si="8"/>
        <v>168.11</v>
      </c>
      <c r="AH78" s="51">
        <f t="shared" si="8"/>
        <v>494.1</v>
      </c>
      <c r="AI78" s="51">
        <f t="shared" si="8"/>
        <v>969.76</v>
      </c>
      <c r="AJ78" s="51">
        <f t="shared" si="8"/>
        <v>257.67</v>
      </c>
      <c r="AK78" s="51">
        <f t="shared" si="8"/>
        <v>446.91</v>
      </c>
      <c r="AL78" s="51">
        <f t="shared" si="8"/>
        <v>288.2</v>
      </c>
      <c r="AM78" s="51">
        <f t="shared" si="8"/>
        <v>0</v>
      </c>
      <c r="AN78" s="51">
        <f t="shared" si="8"/>
        <v>0</v>
      </c>
      <c r="AO78" s="4">
        <f>SUM(AC78:AN78)</f>
        <v>4159.99</v>
      </c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</row>
    <row r="80"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</row>
    <row r="81">
      <c r="A81" s="41" t="s">
        <v>84</v>
      </c>
      <c r="B81" s="25"/>
      <c r="C81" s="54">
        <v>259.96</v>
      </c>
      <c r="D81" s="15">
        <v>258.96</v>
      </c>
      <c r="E81" s="25"/>
      <c r="F81" s="25"/>
      <c r="G81" s="25"/>
      <c r="H81" s="25"/>
      <c r="I81" s="68">
        <v>600.0</v>
      </c>
      <c r="J81" s="5"/>
      <c r="K81" s="5"/>
      <c r="L81" s="5"/>
      <c r="M81" s="29"/>
      <c r="N81" s="29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29"/>
      <c r="AB81" s="29"/>
      <c r="AC81" s="13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</row>
    <row r="82">
      <c r="A82" s="41" t="s">
        <v>85</v>
      </c>
      <c r="B82" s="25"/>
      <c r="C82" s="25"/>
      <c r="D82" s="25"/>
      <c r="E82" s="25"/>
      <c r="F82" s="25"/>
      <c r="G82" s="25"/>
      <c r="H82" s="25"/>
      <c r="I82" s="15">
        <v>98.66</v>
      </c>
      <c r="J82" s="5"/>
      <c r="K82" s="5"/>
      <c r="L82" s="5"/>
      <c r="M82" s="29"/>
      <c r="N82" s="29"/>
      <c r="O82" s="5"/>
      <c r="P82" s="5"/>
      <c r="Q82" s="5"/>
      <c r="R82" s="15">
        <v>72.99</v>
      </c>
      <c r="S82" s="5"/>
      <c r="T82" s="5"/>
      <c r="U82" s="5"/>
      <c r="V82" s="5"/>
      <c r="W82" s="5"/>
      <c r="X82" s="5"/>
      <c r="Y82" s="5"/>
      <c r="Z82" s="5"/>
      <c r="AA82" s="29"/>
      <c r="AB82" s="29"/>
      <c r="AC82" s="13"/>
      <c r="AD82" s="5"/>
      <c r="AE82" s="5"/>
      <c r="AF82" s="5"/>
      <c r="AG82" s="5"/>
      <c r="AH82" s="5"/>
      <c r="AI82" s="5"/>
      <c r="AJ82" s="5"/>
      <c r="AK82" s="5"/>
      <c r="AL82" s="43">
        <v>142.44</v>
      </c>
      <c r="AM82" s="5"/>
      <c r="AN82" s="5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</row>
    <row r="83">
      <c r="A83" s="41" t="s">
        <v>86</v>
      </c>
      <c r="B83" s="25"/>
      <c r="C83" s="25"/>
      <c r="D83" s="25"/>
      <c r="E83" s="25"/>
      <c r="F83" s="25"/>
      <c r="G83" s="25"/>
      <c r="H83" s="25"/>
      <c r="I83" s="25">
        <v>400.0</v>
      </c>
      <c r="J83" s="5"/>
      <c r="K83" s="5"/>
      <c r="L83" s="5"/>
      <c r="M83" s="29"/>
      <c r="N83" s="29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29"/>
      <c r="AB83" s="29"/>
      <c r="AC83" s="13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</row>
    <row r="84">
      <c r="A84" s="66" t="s">
        <v>87</v>
      </c>
      <c r="B84" s="25"/>
      <c r="C84" s="25"/>
      <c r="D84" s="25"/>
      <c r="E84" s="25"/>
      <c r="F84" s="25"/>
      <c r="G84" s="25"/>
      <c r="H84" s="25"/>
      <c r="I84" s="25"/>
      <c r="J84" s="5"/>
      <c r="K84" s="5"/>
      <c r="L84" s="5"/>
      <c r="M84" s="29"/>
      <c r="N84" s="29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C84" s="13"/>
      <c r="AD84" s="5"/>
      <c r="AE84" s="5"/>
      <c r="AF84" s="5"/>
      <c r="AG84" s="5"/>
      <c r="AH84" s="5"/>
      <c r="AI84" s="43">
        <v>29.04</v>
      </c>
      <c r="AJ84" s="5"/>
      <c r="AK84" s="5"/>
      <c r="AL84" s="5"/>
      <c r="AM84" s="5"/>
      <c r="AN84" s="5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</row>
    <row r="85">
      <c r="A85" s="66" t="s">
        <v>88</v>
      </c>
      <c r="B85" s="25"/>
      <c r="C85" s="25"/>
      <c r="D85" s="25"/>
      <c r="E85" s="25"/>
      <c r="F85" s="25"/>
      <c r="G85" s="25"/>
      <c r="H85" s="25"/>
      <c r="I85" s="25">
        <v>200.0</v>
      </c>
      <c r="J85" s="5"/>
      <c r="K85" s="5"/>
      <c r="L85" s="5"/>
      <c r="M85" s="29"/>
      <c r="N85" s="29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</row>
    <row r="86">
      <c r="A86" s="66" t="s">
        <v>89</v>
      </c>
      <c r="B86" s="25"/>
      <c r="C86" s="25"/>
      <c r="D86" s="25"/>
      <c r="E86" s="25"/>
      <c r="F86" s="25"/>
      <c r="G86" s="25"/>
      <c r="H86" s="25"/>
      <c r="I86" s="25"/>
      <c r="J86" s="5"/>
      <c r="K86" s="5"/>
      <c r="L86" s="5"/>
      <c r="M86" s="29"/>
      <c r="N86" s="29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C86" s="5"/>
      <c r="AD86" s="5"/>
      <c r="AE86" s="5"/>
      <c r="AF86" s="5"/>
      <c r="AG86" s="5"/>
      <c r="AH86" s="5"/>
      <c r="AI86" s="11">
        <v>74.79</v>
      </c>
      <c r="AJ86" s="5"/>
      <c r="AK86" s="5"/>
      <c r="AL86" s="5"/>
      <c r="AM86" s="5"/>
      <c r="AN86" s="5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</row>
    <row r="87">
      <c r="A87" s="52" t="s">
        <v>63</v>
      </c>
      <c r="B87" s="22"/>
      <c r="C87" s="22"/>
      <c r="D87" s="22"/>
      <c r="E87" s="22"/>
      <c r="F87" s="22"/>
      <c r="G87" s="22"/>
      <c r="H87" s="22"/>
      <c r="I87" s="22">
        <f t="shared" ref="I87:L87" si="9">SUM(I80:I86)</f>
        <v>1298.66</v>
      </c>
      <c r="J87" s="22">
        <f t="shared" si="9"/>
        <v>0</v>
      </c>
      <c r="K87" s="22">
        <f t="shared" si="9"/>
        <v>0</v>
      </c>
      <c r="L87" s="22">
        <f t="shared" si="9"/>
        <v>0</v>
      </c>
      <c r="M87" s="22">
        <f>SUM(I87:L87)</f>
        <v>1298.66</v>
      </c>
      <c r="N87" s="69"/>
      <c r="O87" s="70">
        <f t="shared" ref="O87:Z87" si="10">SUM(O81:O86)</f>
        <v>0</v>
      </c>
      <c r="P87" s="70">
        <f t="shared" si="10"/>
        <v>0</v>
      </c>
      <c r="Q87" s="70">
        <f t="shared" si="10"/>
        <v>0</v>
      </c>
      <c r="R87" s="70">
        <f t="shared" si="10"/>
        <v>72.99</v>
      </c>
      <c r="S87" s="70">
        <f t="shared" si="10"/>
        <v>0</v>
      </c>
      <c r="T87" s="70">
        <f t="shared" si="10"/>
        <v>0</v>
      </c>
      <c r="U87" s="70">
        <f t="shared" si="10"/>
        <v>0</v>
      </c>
      <c r="V87" s="70">
        <f t="shared" si="10"/>
        <v>0</v>
      </c>
      <c r="W87" s="70">
        <f t="shared" si="10"/>
        <v>0</v>
      </c>
      <c r="X87" s="70">
        <f t="shared" si="10"/>
        <v>0</v>
      </c>
      <c r="Y87" s="70">
        <f t="shared" si="10"/>
        <v>0</v>
      </c>
      <c r="Z87" s="70">
        <f t="shared" si="10"/>
        <v>0</v>
      </c>
      <c r="AA87" s="70">
        <f>SUM(O87:Z87)</f>
        <v>72.99</v>
      </c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</row>
    <row r="88">
      <c r="B88" s="38"/>
      <c r="C88" s="38"/>
      <c r="D88" s="38"/>
      <c r="E88" s="38"/>
      <c r="F88" s="38"/>
      <c r="L88" s="38"/>
      <c r="M88" s="71"/>
      <c r="N88" s="71"/>
      <c r="O88" s="38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</row>
    <row r="89">
      <c r="A89" s="52" t="s">
        <v>22</v>
      </c>
      <c r="B89" s="22"/>
      <c r="C89" s="22"/>
      <c r="D89" s="22"/>
      <c r="E89" s="22"/>
      <c r="F89" s="22"/>
      <c r="G89" s="22"/>
      <c r="H89" s="22"/>
      <c r="I89" s="22">
        <f t="shared" ref="I89:L89" si="11">I37+I78+I87</f>
        <v>6466.61</v>
      </c>
      <c r="J89" s="22">
        <f t="shared" si="11"/>
        <v>1827.8</v>
      </c>
      <c r="K89" s="22">
        <f t="shared" si="11"/>
        <v>1857.91</v>
      </c>
      <c r="L89" s="22">
        <f t="shared" si="11"/>
        <v>1937.87</v>
      </c>
      <c r="M89" s="22">
        <f>SUM(I89:L89)</f>
        <v>12090.19</v>
      </c>
      <c r="N89" s="69"/>
      <c r="O89" s="22">
        <f t="shared" ref="O89:AA89" si="12">O87+O78+O37</f>
        <v>1313.7</v>
      </c>
      <c r="P89" s="22">
        <f t="shared" si="12"/>
        <v>2072</v>
      </c>
      <c r="Q89" s="22">
        <f t="shared" si="12"/>
        <v>1912.09</v>
      </c>
      <c r="R89" s="22">
        <f t="shared" si="12"/>
        <v>2367.31</v>
      </c>
      <c r="S89" s="22">
        <f t="shared" si="12"/>
        <v>2471.74</v>
      </c>
      <c r="T89" s="22">
        <f t="shared" si="12"/>
        <v>2360.86</v>
      </c>
      <c r="U89" s="22">
        <f t="shared" si="12"/>
        <v>1529.53</v>
      </c>
      <c r="V89" s="22">
        <f t="shared" si="12"/>
        <v>2924.47</v>
      </c>
      <c r="W89" s="22">
        <f t="shared" si="12"/>
        <v>2345.9</v>
      </c>
      <c r="X89" s="22">
        <f t="shared" si="12"/>
        <v>1471.52</v>
      </c>
      <c r="Y89" s="22">
        <f t="shared" si="12"/>
        <v>1924.07</v>
      </c>
      <c r="Z89" s="22">
        <f t="shared" si="12"/>
        <v>1486.92</v>
      </c>
      <c r="AA89" s="22">
        <f t="shared" si="12"/>
        <v>24180.11</v>
      </c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</row>
    <row r="90"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</row>
    <row r="91"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</row>
    <row r="92"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</row>
    <row r="93">
      <c r="A93" s="66" t="s">
        <v>90</v>
      </c>
      <c r="T93" s="66">
        <v>330.0</v>
      </c>
      <c r="W93" s="66">
        <v>77.0</v>
      </c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</row>
    <row r="94"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</row>
    <row r="95"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</row>
    <row r="96"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</row>
    <row r="97"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</row>
    <row r="98"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</row>
    <row r="99"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</row>
    <row r="100"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</row>
    <row r="102"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</row>
    <row r="103"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</row>
    <row r="104"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</row>
    <row r="105"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</row>
    <row r="106"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</row>
    <row r="107"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</row>
    <row r="108"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</row>
    <row r="109"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</row>
    <row r="110"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</row>
    <row r="111"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</row>
    <row r="112"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</row>
    <row r="113"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</row>
    <row r="114"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</row>
    <row r="115"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</row>
    <row r="116"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</row>
    <row r="117"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</row>
    <row r="118"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</row>
    <row r="119"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</row>
    <row r="120"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</row>
    <row r="121"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</row>
    <row r="122"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</row>
    <row r="123"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</row>
    <row r="124"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</row>
    <row r="125"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</row>
    <row r="126"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</row>
    <row r="127"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</row>
    <row r="128"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</row>
    <row r="129"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</row>
    <row r="130"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</row>
    <row r="131"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</row>
    <row r="132"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</row>
    <row r="133"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</row>
    <row r="134"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</row>
    <row r="135"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</row>
    <row r="136"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</row>
    <row r="137"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</row>
    <row r="138"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</row>
    <row r="139"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</row>
    <row r="140"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</row>
    <row r="141"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</row>
    <row r="142"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</row>
    <row r="143"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</row>
    <row r="144"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</row>
    <row r="145"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</row>
    <row r="146"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</row>
    <row r="147"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</row>
    <row r="148"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</row>
    <row r="149"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</row>
    <row r="150"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</row>
    <row r="151"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</row>
    <row r="152"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</row>
    <row r="153"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</row>
    <row r="154"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</row>
    <row r="155"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</row>
    <row r="156"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</row>
    <row r="157"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</row>
    <row r="158"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</row>
    <row r="159"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</row>
    <row r="160"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</row>
    <row r="161"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</row>
    <row r="162"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</row>
    <row r="163"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</row>
    <row r="164"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</row>
    <row r="165"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</row>
    <row r="166"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</row>
    <row r="167"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</row>
    <row r="168"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</row>
    <row r="169"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</row>
    <row r="170"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</row>
    <row r="171"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</row>
    <row r="172"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</row>
    <row r="173"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</row>
    <row r="174"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</row>
    <row r="175"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</row>
    <row r="176"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</row>
    <row r="177"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</row>
    <row r="178"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</row>
    <row r="179"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</row>
    <row r="180"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</row>
    <row r="181"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</row>
    <row r="182"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</row>
    <row r="183"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</row>
    <row r="184"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</row>
    <row r="185"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</row>
    <row r="186"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</row>
    <row r="187"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</row>
    <row r="188"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</row>
    <row r="189"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</row>
    <row r="190"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</row>
    <row r="191"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</row>
    <row r="192"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</row>
    <row r="193"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</row>
    <row r="194"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</row>
    <row r="195"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</row>
    <row r="196"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</row>
    <row r="197"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</row>
    <row r="198"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</row>
    <row r="199"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</row>
    <row r="200"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</row>
    <row r="201"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</row>
    <row r="202"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</row>
    <row r="203"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</row>
    <row r="204"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</row>
    <row r="205"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</row>
    <row r="206"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</row>
    <row r="207"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</row>
    <row r="208"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</row>
    <row r="209"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</row>
    <row r="210"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</row>
    <row r="211"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</row>
    <row r="212"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</row>
    <row r="213"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</row>
    <row r="214"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</row>
    <row r="215"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</row>
    <row r="216"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</row>
    <row r="217"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</row>
    <row r="218"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</row>
    <row r="219"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</row>
    <row r="220"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</row>
    <row r="221"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</row>
    <row r="222"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</row>
    <row r="223"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</row>
    <row r="224"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</row>
    <row r="225"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</row>
    <row r="226"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</row>
    <row r="227"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</row>
    <row r="228"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</row>
    <row r="229"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</row>
    <row r="230"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</row>
    <row r="231"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</row>
    <row r="232"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</row>
    <row r="233"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</row>
    <row r="234"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</row>
    <row r="235"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</row>
    <row r="236"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</row>
    <row r="237"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</row>
    <row r="238"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</row>
    <row r="239"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</row>
    <row r="240"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</row>
    <row r="241"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</row>
    <row r="242"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</row>
    <row r="243"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</row>
    <row r="244"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</row>
    <row r="245"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</row>
    <row r="246"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</row>
    <row r="247"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</row>
    <row r="248"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</row>
    <row r="249"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</row>
    <row r="250"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</row>
    <row r="251"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</row>
    <row r="252"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</row>
    <row r="253"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</row>
    <row r="254"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</row>
    <row r="255"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</row>
    <row r="256"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</row>
    <row r="257"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</row>
    <row r="258"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</row>
    <row r="259"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</row>
    <row r="260"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</row>
    <row r="261"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</row>
    <row r="262"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</row>
    <row r="263"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</row>
    <row r="264"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</row>
    <row r="265"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</row>
    <row r="266"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</row>
    <row r="267"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</row>
    <row r="268"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</row>
    <row r="269"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</row>
    <row r="270"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</row>
    <row r="271"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</row>
    <row r="272"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</row>
    <row r="273"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</row>
    <row r="274"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</row>
    <row r="275"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</row>
    <row r="276"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</row>
    <row r="277"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</row>
    <row r="278"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</row>
    <row r="279"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</row>
    <row r="280"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</row>
    <row r="281"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</row>
    <row r="282"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</row>
    <row r="283"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</row>
    <row r="284"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</row>
    <row r="285"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</row>
    <row r="286"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</row>
    <row r="287"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</row>
    <row r="288"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</row>
    <row r="289"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</row>
    <row r="290"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</row>
    <row r="291"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</row>
    <row r="292"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</row>
    <row r="293"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</row>
    <row r="294"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</row>
    <row r="295"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</row>
    <row r="296"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</row>
    <row r="297"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</row>
    <row r="298"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</row>
    <row r="299"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</row>
    <row r="300"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</row>
    <row r="301"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</row>
    <row r="302"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</row>
    <row r="303"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</row>
    <row r="304"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</row>
    <row r="305"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</row>
    <row r="306"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</row>
    <row r="307"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</row>
    <row r="308"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</row>
    <row r="309"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</row>
    <row r="310"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</row>
    <row r="311"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</row>
    <row r="312"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</row>
    <row r="313"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</row>
    <row r="314"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</row>
    <row r="315"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</row>
    <row r="316"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</row>
    <row r="317"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</row>
    <row r="318"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</row>
    <row r="319"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</row>
    <row r="320"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</row>
    <row r="321"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</row>
    <row r="322"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</row>
    <row r="323"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</row>
    <row r="324"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</row>
    <row r="325"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</row>
    <row r="326"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</row>
    <row r="327"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</row>
    <row r="328"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</row>
    <row r="329"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</row>
    <row r="330"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</row>
    <row r="331"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</row>
    <row r="332"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</row>
    <row r="333"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</row>
    <row r="334"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</row>
    <row r="335"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</row>
    <row r="336"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</row>
    <row r="337"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</row>
    <row r="338"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</row>
    <row r="339"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</row>
    <row r="340"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</row>
    <row r="341"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</row>
    <row r="342"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</row>
    <row r="343"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</row>
    <row r="344"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</row>
    <row r="345"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</row>
    <row r="346"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</row>
    <row r="347"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</row>
    <row r="348"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</row>
    <row r="349"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</row>
    <row r="350"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</row>
    <row r="351"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</row>
    <row r="352"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</row>
    <row r="353"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</row>
    <row r="354"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</row>
    <row r="355"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</row>
    <row r="356"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</row>
    <row r="357"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</row>
    <row r="358"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</row>
    <row r="359"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</row>
    <row r="360"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</row>
    <row r="361"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</row>
    <row r="362"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</row>
    <row r="363"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</row>
    <row r="364"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</row>
    <row r="365"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</row>
    <row r="366"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</row>
    <row r="367"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</row>
    <row r="368"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</row>
    <row r="369"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</row>
    <row r="370"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</row>
    <row r="371"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</row>
    <row r="372"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</row>
    <row r="373"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</row>
    <row r="374"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</row>
    <row r="375"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</row>
    <row r="376"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</row>
    <row r="377"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</row>
    <row r="378"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</row>
    <row r="379"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</row>
    <row r="380"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</row>
    <row r="381"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</row>
    <row r="382"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</row>
    <row r="383"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</row>
    <row r="384"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</row>
    <row r="385"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</row>
    <row r="386"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</row>
    <row r="387"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</row>
    <row r="388"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</row>
    <row r="389"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</row>
    <row r="390"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</row>
    <row r="391"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</row>
    <row r="392"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</row>
    <row r="393"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</row>
    <row r="394"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</row>
    <row r="395"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</row>
    <row r="396"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</row>
    <row r="397"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</row>
    <row r="398"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</row>
    <row r="399"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</row>
    <row r="400"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</row>
    <row r="401"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</row>
    <row r="402"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</row>
    <row r="403"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</row>
    <row r="404"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</row>
    <row r="405"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</row>
    <row r="406"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</row>
    <row r="407"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</row>
    <row r="408"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</row>
    <row r="409"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</row>
    <row r="410"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</row>
    <row r="411"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</row>
    <row r="412"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</row>
    <row r="413"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</row>
    <row r="414"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</row>
    <row r="415"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</row>
    <row r="416"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</row>
    <row r="417"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</row>
    <row r="418"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</row>
    <row r="419"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</row>
    <row r="420"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</row>
    <row r="421"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</row>
    <row r="422"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</row>
    <row r="423"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</row>
    <row r="424"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</row>
    <row r="425"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</row>
    <row r="426"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</row>
    <row r="427"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</row>
    <row r="428"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</row>
    <row r="429"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</row>
    <row r="430"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</row>
    <row r="431"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</row>
    <row r="432"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</row>
    <row r="433"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</row>
    <row r="434"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</row>
    <row r="435"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</row>
    <row r="436"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</row>
    <row r="437"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</row>
    <row r="438"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</row>
    <row r="439"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</row>
    <row r="440"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</row>
    <row r="441"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</row>
    <row r="442"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</row>
    <row r="443"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</row>
    <row r="444"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</row>
    <row r="445"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</row>
    <row r="446"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</row>
    <row r="447"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</row>
    <row r="448"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</row>
    <row r="449"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</row>
    <row r="450"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</row>
    <row r="451"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</row>
    <row r="452"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</row>
    <row r="453"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</row>
    <row r="454"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</row>
    <row r="455"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</row>
    <row r="456"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</row>
    <row r="457"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</row>
    <row r="458"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</row>
    <row r="459"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</row>
    <row r="460"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</row>
    <row r="461"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</row>
    <row r="462"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</row>
    <row r="463"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</row>
    <row r="464"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</row>
    <row r="465"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</row>
    <row r="466"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</row>
    <row r="467"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</row>
    <row r="468"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</row>
    <row r="469"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</row>
    <row r="470"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</row>
    <row r="471"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</row>
    <row r="472"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</row>
    <row r="473"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</row>
    <row r="474"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</row>
    <row r="475"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</row>
    <row r="476"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</row>
    <row r="477"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</row>
    <row r="478"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</row>
    <row r="479"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</row>
    <row r="480"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</row>
    <row r="481"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</row>
    <row r="482"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</row>
    <row r="483"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</row>
    <row r="484"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</row>
    <row r="485"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</row>
    <row r="486"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</row>
    <row r="487"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</row>
    <row r="488"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</row>
    <row r="489"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</row>
    <row r="490"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</row>
    <row r="491"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</row>
    <row r="492"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</row>
    <row r="493"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</row>
    <row r="494"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</row>
    <row r="495"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</row>
    <row r="496"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</row>
    <row r="497"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</row>
    <row r="498"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</row>
    <row r="499"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</row>
    <row r="500"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</row>
    <row r="501"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</row>
    <row r="502"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</row>
    <row r="503"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</row>
    <row r="504"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</row>
    <row r="505"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</row>
    <row r="506"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</row>
    <row r="507"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</row>
    <row r="508"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</row>
    <row r="509"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</row>
    <row r="510"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</row>
    <row r="511"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</row>
    <row r="512"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</row>
    <row r="513"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</row>
    <row r="514"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</row>
    <row r="515"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</row>
    <row r="516"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</row>
    <row r="517"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</row>
    <row r="518"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</row>
    <row r="519"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</row>
    <row r="520"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</row>
    <row r="521"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</row>
    <row r="522"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</row>
    <row r="523"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</row>
    <row r="524"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</row>
    <row r="525"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</row>
    <row r="526"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</row>
    <row r="527"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</row>
    <row r="528"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</row>
    <row r="529"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</row>
    <row r="530"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</row>
    <row r="531"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</row>
    <row r="532"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</row>
    <row r="533"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</row>
    <row r="534"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</row>
    <row r="535"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</row>
    <row r="536"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</row>
    <row r="537"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</row>
    <row r="538"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</row>
    <row r="539"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</row>
    <row r="540"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</row>
    <row r="541"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</row>
    <row r="542"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</row>
    <row r="543"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</row>
    <row r="544"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</row>
    <row r="545"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</row>
    <row r="546"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</row>
    <row r="547"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</row>
    <row r="548"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</row>
    <row r="549"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</row>
    <row r="550"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</row>
    <row r="551"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</row>
    <row r="552"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</row>
    <row r="553"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</row>
    <row r="554"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</row>
    <row r="555"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</row>
    <row r="556"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</row>
    <row r="557"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</row>
    <row r="558"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</row>
    <row r="559"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</row>
    <row r="560"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</row>
    <row r="561"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</row>
    <row r="562"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</row>
    <row r="563"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</row>
    <row r="564"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</row>
    <row r="565"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</row>
    <row r="566"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</row>
    <row r="567"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</row>
    <row r="568"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</row>
    <row r="569"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</row>
    <row r="570"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</row>
    <row r="571"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</row>
    <row r="572"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</row>
    <row r="573"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</row>
    <row r="574"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</row>
    <row r="575"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</row>
    <row r="576"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</row>
    <row r="577"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</row>
    <row r="578"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</row>
    <row r="579"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</row>
    <row r="580"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</row>
    <row r="581"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</row>
    <row r="582"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</row>
    <row r="583"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</row>
    <row r="584"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</row>
    <row r="585"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</row>
    <row r="586"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</row>
    <row r="587"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</row>
    <row r="588"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</row>
    <row r="589"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</row>
    <row r="590"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</row>
    <row r="591"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</row>
    <row r="592"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</row>
    <row r="593"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</row>
    <row r="594"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</row>
    <row r="595"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</row>
    <row r="596"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</row>
    <row r="597"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</row>
    <row r="598"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</row>
    <row r="599"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</row>
    <row r="600"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</row>
    <row r="601"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</row>
    <row r="602"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</row>
    <row r="603"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</row>
    <row r="604"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</row>
    <row r="605"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</row>
    <row r="606"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</row>
    <row r="607"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</row>
    <row r="608"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</row>
    <row r="609"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</row>
    <row r="610"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</row>
    <row r="611"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</row>
    <row r="612"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</row>
    <row r="613"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</row>
    <row r="614"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</row>
    <row r="615"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</row>
    <row r="616"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</row>
    <row r="617"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</row>
    <row r="618"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</row>
    <row r="619"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</row>
    <row r="620"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</row>
    <row r="621"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</row>
    <row r="622"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</row>
    <row r="623"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</row>
    <row r="624"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</row>
    <row r="625"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</row>
    <row r="626"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</row>
    <row r="627"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</row>
    <row r="628"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</row>
    <row r="629"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</row>
    <row r="630"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</row>
    <row r="631"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</row>
    <row r="632"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</row>
    <row r="633"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</row>
    <row r="634"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</row>
    <row r="635"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</row>
    <row r="636"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</row>
    <row r="637"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</row>
    <row r="638"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</row>
    <row r="639"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</row>
    <row r="640"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</row>
    <row r="641"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</row>
    <row r="642"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</row>
    <row r="643"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</row>
    <row r="644"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</row>
    <row r="645"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</row>
    <row r="646"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</row>
    <row r="647"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</row>
    <row r="648"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</row>
    <row r="649"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</row>
    <row r="650"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</row>
    <row r="651"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</row>
    <row r="652"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</row>
    <row r="653"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</row>
    <row r="654"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</row>
    <row r="655"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</row>
    <row r="656"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</row>
    <row r="657"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</row>
    <row r="658"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</row>
    <row r="659"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</row>
    <row r="660"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</row>
    <row r="661"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</row>
    <row r="662"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</row>
    <row r="663"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</row>
    <row r="664"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</row>
    <row r="665"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</row>
    <row r="666"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</row>
    <row r="667"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</row>
    <row r="668"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</row>
    <row r="669"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</row>
    <row r="670"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</row>
    <row r="671"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</row>
    <row r="672"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</row>
    <row r="673"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</row>
    <row r="674"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</row>
    <row r="675"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</row>
    <row r="676"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</row>
    <row r="677"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</row>
    <row r="678"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</row>
    <row r="679"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</row>
    <row r="680"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</row>
    <row r="681"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</row>
    <row r="682"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</row>
    <row r="683"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</row>
    <row r="684"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</row>
    <row r="685"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</row>
    <row r="686"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</row>
    <row r="687"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</row>
    <row r="688"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</row>
    <row r="689"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</row>
    <row r="690"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</row>
    <row r="691"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</row>
    <row r="692"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</row>
    <row r="693"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</row>
    <row r="694"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</row>
    <row r="695"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</row>
    <row r="696"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</row>
    <row r="697"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</row>
    <row r="698"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</row>
    <row r="699"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</row>
    <row r="700"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</row>
    <row r="701"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</row>
    <row r="702"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</row>
    <row r="703"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</row>
    <row r="704"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</row>
    <row r="705"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</row>
    <row r="706"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</row>
    <row r="707"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</row>
    <row r="708"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</row>
    <row r="709"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</row>
    <row r="710"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</row>
    <row r="711"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</row>
    <row r="712"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</row>
    <row r="713"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</row>
    <row r="714"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</row>
    <row r="715"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</row>
    <row r="716"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</row>
    <row r="717"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</row>
    <row r="718"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</row>
    <row r="719"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</row>
    <row r="720"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</row>
    <row r="721"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</row>
    <row r="722"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</row>
    <row r="723"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</row>
    <row r="724"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</row>
    <row r="725"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</row>
    <row r="726"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</row>
    <row r="727"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</row>
    <row r="728"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</row>
    <row r="729"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</row>
    <row r="730"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</row>
    <row r="731"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</row>
    <row r="732"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</row>
    <row r="733"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</row>
    <row r="734"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</row>
    <row r="735"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</row>
    <row r="736"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</row>
    <row r="737"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</row>
    <row r="738"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</row>
    <row r="739"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</row>
    <row r="740"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</row>
    <row r="741"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</row>
    <row r="742"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</row>
    <row r="743"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</row>
    <row r="744"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</row>
    <row r="745"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</row>
    <row r="746"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</row>
    <row r="747"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</row>
    <row r="748"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</row>
    <row r="749"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</row>
    <row r="750"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</row>
    <row r="751"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</row>
    <row r="752"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</row>
    <row r="753"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</row>
    <row r="754"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</row>
    <row r="755"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</row>
    <row r="756"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</row>
    <row r="757"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</row>
    <row r="758"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</row>
    <row r="759"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</row>
    <row r="760"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</row>
    <row r="761"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</row>
    <row r="762"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</row>
    <row r="763"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</row>
    <row r="764"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</row>
    <row r="765"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</row>
    <row r="766"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</row>
    <row r="767"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</row>
    <row r="768"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</row>
    <row r="769"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</row>
    <row r="770"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</row>
    <row r="771"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</row>
    <row r="772"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</row>
    <row r="773"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</row>
    <row r="774"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</row>
    <row r="775"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</row>
    <row r="776"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</row>
    <row r="777"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</row>
    <row r="778"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</row>
    <row r="779"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</row>
    <row r="780"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</row>
    <row r="781"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</row>
    <row r="782"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</row>
    <row r="783"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</row>
    <row r="784"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</row>
    <row r="785"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</row>
    <row r="786"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</row>
    <row r="787"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</row>
    <row r="788"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</row>
    <row r="789"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</row>
    <row r="790"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</row>
    <row r="791"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</row>
    <row r="792"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</row>
    <row r="793"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</row>
    <row r="794"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</row>
    <row r="795"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</row>
    <row r="796"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</row>
    <row r="797"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</row>
    <row r="798"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</row>
    <row r="799"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</row>
    <row r="800"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</row>
    <row r="801"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</row>
    <row r="802"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</row>
    <row r="803"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</row>
    <row r="804"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</row>
    <row r="805"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</row>
    <row r="806"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</row>
    <row r="807"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</row>
    <row r="808"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</row>
    <row r="809"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</row>
    <row r="810"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</row>
    <row r="811"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</row>
    <row r="812"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</row>
    <row r="813"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</row>
    <row r="814"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</row>
    <row r="815"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</row>
    <row r="816"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</row>
    <row r="817"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</row>
    <row r="818"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</row>
    <row r="819"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</row>
    <row r="820"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</row>
    <row r="821"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</row>
    <row r="822"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</row>
    <row r="823"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</row>
    <row r="824"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</row>
    <row r="825"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</row>
    <row r="826"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</row>
    <row r="827"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</row>
    <row r="828"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</row>
    <row r="829"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</row>
    <row r="830"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</row>
    <row r="831"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</row>
    <row r="832"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</row>
    <row r="833"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</row>
    <row r="834"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</row>
    <row r="835"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</row>
    <row r="836"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</row>
    <row r="837"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</row>
    <row r="838"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</row>
    <row r="839"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</row>
    <row r="840"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</row>
    <row r="841"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</row>
    <row r="842"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</row>
    <row r="843"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</row>
    <row r="844"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</row>
    <row r="845"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</row>
    <row r="846"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</row>
    <row r="847"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</row>
    <row r="848"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</row>
    <row r="849"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</row>
    <row r="850"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</row>
    <row r="851"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</row>
    <row r="852"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</row>
    <row r="853"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</row>
    <row r="854"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</row>
    <row r="855"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</row>
    <row r="856"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</row>
    <row r="857"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</row>
    <row r="858"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</row>
    <row r="859"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</row>
    <row r="860"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</row>
    <row r="861"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</row>
    <row r="862"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</row>
    <row r="863"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</row>
    <row r="864"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</row>
    <row r="865"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</row>
    <row r="866"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</row>
    <row r="867"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</row>
    <row r="868"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</row>
    <row r="869"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</row>
    <row r="870"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</row>
    <row r="871"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</row>
    <row r="872"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</row>
    <row r="873"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</row>
    <row r="874"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</row>
    <row r="875"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</row>
    <row r="876"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</row>
    <row r="877"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</row>
    <row r="878"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</row>
    <row r="879"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</row>
    <row r="880"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</row>
    <row r="881"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</row>
    <row r="882"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</row>
    <row r="883"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</row>
    <row r="884"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</row>
    <row r="885"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</row>
    <row r="886"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</row>
    <row r="887"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</row>
    <row r="888"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</row>
    <row r="889"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</row>
    <row r="890"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</row>
    <row r="891"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</row>
    <row r="892"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</row>
    <row r="893"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</row>
    <row r="894"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</row>
    <row r="895"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</row>
    <row r="896"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</row>
    <row r="897"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</row>
    <row r="898"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</row>
    <row r="899"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</row>
    <row r="900"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</row>
    <row r="901"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</row>
    <row r="902"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</row>
    <row r="903"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</row>
    <row r="904"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</row>
    <row r="905"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</row>
    <row r="906"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</row>
    <row r="907"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</row>
    <row r="908"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</row>
    <row r="909"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</row>
    <row r="910"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</row>
    <row r="911"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</row>
    <row r="912"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</row>
    <row r="913"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</row>
    <row r="914"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</row>
    <row r="915"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</row>
    <row r="916"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</row>
    <row r="917"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</row>
    <row r="918"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</row>
    <row r="919"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</row>
    <row r="920"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</row>
    <row r="921"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</row>
    <row r="922"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</row>
    <row r="923"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</row>
    <row r="924"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</row>
    <row r="925"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</row>
    <row r="926"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</row>
    <row r="927"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</row>
    <row r="928"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</row>
    <row r="929"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</row>
    <row r="930"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</row>
    <row r="931"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</row>
    <row r="932"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</row>
    <row r="933"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</row>
    <row r="934"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</row>
    <row r="935"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</row>
    <row r="936"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</row>
    <row r="937"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</row>
    <row r="938"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</row>
    <row r="939"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</row>
    <row r="940"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</row>
    <row r="941"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</row>
    <row r="942"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</row>
    <row r="943"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</row>
    <row r="944"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</row>
    <row r="945"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</row>
    <row r="946"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</row>
    <row r="947"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</row>
    <row r="948"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</row>
    <row r="949"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</row>
    <row r="950"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</row>
    <row r="951"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</row>
    <row r="952"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</row>
    <row r="953"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</row>
    <row r="954"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</row>
    <row r="955"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</row>
    <row r="956"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</row>
    <row r="957"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</row>
    <row r="958"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</row>
    <row r="959"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</row>
    <row r="960"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</row>
    <row r="961"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</row>
    <row r="962"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</row>
    <row r="963"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</row>
    <row r="964"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</row>
    <row r="965"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</row>
    <row r="966"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</row>
    <row r="967"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</row>
    <row r="968"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</row>
    <row r="969"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</row>
    <row r="970"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</row>
    <row r="971"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</row>
    <row r="972"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</row>
    <row r="973"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</row>
    <row r="974"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</row>
    <row r="975"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</row>
    <row r="976"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</row>
    <row r="977"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</row>
    <row r="978"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</row>
    <row r="979"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</row>
    <row r="980"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</row>
    <row r="981"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</row>
    <row r="982"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</row>
    <row r="983"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</row>
    <row r="984"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</row>
    <row r="985"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</row>
    <row r="986"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</row>
    <row r="987"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</row>
    <row r="988"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</row>
    <row r="989"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</row>
    <row r="990"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</row>
    <row r="991"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</row>
    <row r="992"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</row>
    <row r="993"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</row>
    <row r="994"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</row>
    <row r="995"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</row>
    <row r="996"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</row>
    <row r="997"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</row>
    <row r="998"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</row>
    <row r="999"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</row>
    <row r="1000"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</row>
    <row r="1001"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</row>
    <row r="1002"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</row>
    <row r="1003"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</row>
    <row r="1004"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</row>
    <row r="1005"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</row>
    <row r="1006"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</row>
    <row r="1007"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</row>
    <row r="1008"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</row>
    <row r="1009"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</row>
    <row r="1010"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</row>
    <row r="1011"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</row>
    <row r="1012"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</row>
    <row r="1013"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</row>
    <row r="1014"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</row>
    <row r="1015"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</row>
    <row r="1016"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</row>
    <row r="1017"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</row>
    <row r="1018"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</row>
    <row r="1019"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</row>
    <row r="1020"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</row>
    <row r="1021"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</row>
    <row r="1022"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</row>
    <row r="1023"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</row>
    <row r="1024"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</row>
    <row r="1025"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</row>
    <row r="1026"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</row>
    <row r="1027"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</row>
    <row r="1028"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</row>
    <row r="1029"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</row>
    <row r="1030"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</row>
    <row r="1031"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</row>
    <row r="1032"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</row>
    <row r="1033"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</row>
    <row r="1034"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</row>
    <row r="1035"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</row>
    <row r="1036"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</row>
    <row r="1037"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</row>
    <row r="1038"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</row>
    <row r="1039"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</row>
    <row r="1040"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</row>
    <row r="1041"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</row>
    <row r="1042"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</row>
    <row r="1043"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</row>
    <row r="1044"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</row>
    <row r="1045"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</row>
    <row r="1046"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</row>
    <row r="1047"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</row>
    <row r="1048"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</row>
    <row r="1049"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</row>
    <row r="1050"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</row>
    <row r="1051"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</row>
    <row r="1052"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</row>
    <row r="1053"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</row>
    <row r="1054"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</row>
    <row r="1055"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</row>
    <row r="1056"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</row>
    <row r="1057"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</row>
    <row r="1058"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</row>
    <row r="1059"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</row>
    <row r="1060"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</row>
  </sheetData>
  <mergeCells count="4">
    <mergeCell ref="I1:L1"/>
    <mergeCell ref="O1:Z1"/>
    <mergeCell ref="AC1:AN1"/>
    <mergeCell ref="AP1:BA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4" width="18.38"/>
  </cols>
  <sheetData>
    <row r="1">
      <c r="A1" s="72" t="s">
        <v>91</v>
      </c>
      <c r="B1" s="72" t="s">
        <v>92</v>
      </c>
      <c r="C1" s="72" t="s">
        <v>93</v>
      </c>
      <c r="D1" s="72" t="s">
        <v>94</v>
      </c>
      <c r="E1" s="72" t="s">
        <v>95</v>
      </c>
      <c r="F1" s="72" t="s">
        <v>96</v>
      </c>
      <c r="G1" s="72" t="s">
        <v>97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>
      <c r="A2" s="29"/>
      <c r="B2" s="29"/>
      <c r="C2" s="29"/>
      <c r="D2" s="29"/>
      <c r="E2" s="29"/>
      <c r="F2" s="29"/>
      <c r="G2" s="29"/>
    </row>
    <row r="3">
      <c r="A3" s="74" t="s">
        <v>98</v>
      </c>
      <c r="B3" s="74" t="s">
        <v>36</v>
      </c>
      <c r="C3" s="75">
        <v>2.5697016E7</v>
      </c>
      <c r="D3" s="74">
        <v>1.0</v>
      </c>
      <c r="E3" s="74" t="s">
        <v>99</v>
      </c>
      <c r="F3" s="76"/>
      <c r="G3" s="77">
        <v>103.0</v>
      </c>
      <c r="H3" s="42">
        <v>0.3697</v>
      </c>
    </row>
    <row r="4">
      <c r="A4" s="74" t="s">
        <v>100</v>
      </c>
      <c r="B4" s="74" t="s">
        <v>101</v>
      </c>
      <c r="C4" s="78">
        <v>1.003215682E9</v>
      </c>
      <c r="D4" s="74">
        <v>1.0</v>
      </c>
      <c r="E4" s="74" t="s">
        <v>102</v>
      </c>
      <c r="F4" s="42" t="s">
        <v>103</v>
      </c>
      <c r="G4" s="77">
        <v>48.0</v>
      </c>
    </row>
    <row r="5">
      <c r="A5" s="74" t="s">
        <v>104</v>
      </c>
      <c r="B5" s="74" t="s">
        <v>105</v>
      </c>
      <c r="C5" s="79">
        <v>1.3721874E7</v>
      </c>
      <c r="D5" s="79">
        <v>24.0</v>
      </c>
      <c r="E5" s="74" t="s">
        <v>106</v>
      </c>
      <c r="F5" s="76"/>
      <c r="G5" s="77">
        <v>39.0</v>
      </c>
    </row>
    <row r="6">
      <c r="A6" s="74" t="s">
        <v>107</v>
      </c>
      <c r="B6" s="74" t="s">
        <v>108</v>
      </c>
      <c r="C6" s="76"/>
      <c r="D6" s="42">
        <v>1.0</v>
      </c>
      <c r="E6" s="76"/>
      <c r="F6" s="76"/>
      <c r="G6" s="77">
        <v>21.9</v>
      </c>
    </row>
    <row r="7">
      <c r="A7" s="42" t="s">
        <v>109</v>
      </c>
      <c r="B7" s="42" t="s">
        <v>110</v>
      </c>
      <c r="C7" s="80" t="s">
        <v>111</v>
      </c>
      <c r="D7" s="29"/>
      <c r="E7" s="29"/>
      <c r="F7" s="29"/>
      <c r="G7" s="81">
        <v>65.0</v>
      </c>
    </row>
    <row r="8">
      <c r="A8" s="42" t="s">
        <v>42</v>
      </c>
      <c r="B8" s="42" t="s">
        <v>112</v>
      </c>
      <c r="C8" s="29"/>
      <c r="D8" s="29"/>
      <c r="E8" s="29"/>
      <c r="F8" s="29"/>
      <c r="G8" s="81">
        <v>5.5</v>
      </c>
    </row>
    <row r="9">
      <c r="A9" s="42" t="s">
        <v>113</v>
      </c>
      <c r="B9" s="42" t="s">
        <v>114</v>
      </c>
      <c r="C9" s="29"/>
      <c r="D9" s="29"/>
      <c r="E9" s="29"/>
      <c r="F9" s="29"/>
      <c r="G9" s="82"/>
    </row>
    <row r="10">
      <c r="A10" s="29"/>
      <c r="B10" s="29"/>
      <c r="C10" s="29"/>
      <c r="D10" s="29"/>
      <c r="E10" s="29"/>
      <c r="F10" s="29"/>
      <c r="G10" s="29"/>
    </row>
    <row r="11">
      <c r="A11" s="29"/>
      <c r="B11" s="29"/>
      <c r="C11" s="29"/>
      <c r="D11" s="29"/>
      <c r="E11" s="29"/>
      <c r="F11" s="29"/>
      <c r="G11" s="29"/>
    </row>
    <row r="12">
      <c r="A12" s="29"/>
      <c r="B12" s="29"/>
      <c r="C12" s="29"/>
      <c r="D12" s="29"/>
      <c r="E12" s="29"/>
      <c r="F12" s="29"/>
      <c r="G12" s="29"/>
    </row>
    <row r="13">
      <c r="A13" s="29"/>
      <c r="B13" s="29"/>
      <c r="C13" s="29"/>
      <c r="D13" s="29"/>
      <c r="E13" s="29"/>
      <c r="F13" s="29"/>
      <c r="G13" s="29"/>
    </row>
    <row r="14">
      <c r="A14" s="29"/>
      <c r="B14" s="29"/>
      <c r="C14" s="29"/>
      <c r="D14" s="29"/>
      <c r="E14" s="29"/>
      <c r="F14" s="29"/>
      <c r="G14" s="29"/>
    </row>
    <row r="15">
      <c r="A15" s="29"/>
      <c r="B15" s="29"/>
      <c r="C15" s="29"/>
      <c r="D15" s="29"/>
      <c r="E15" s="29"/>
      <c r="F15" s="29"/>
      <c r="G15" s="29"/>
    </row>
    <row r="16">
      <c r="A16" s="29"/>
      <c r="B16" s="29"/>
      <c r="C16" s="29"/>
      <c r="D16" s="29"/>
      <c r="E16" s="29"/>
      <c r="F16" s="29"/>
      <c r="G16" s="29"/>
    </row>
    <row r="17">
      <c r="A17" s="29"/>
      <c r="B17" s="29"/>
      <c r="C17" s="29"/>
      <c r="D17" s="29"/>
      <c r="E17" s="29"/>
      <c r="F17" s="29"/>
      <c r="G17" s="29"/>
    </row>
    <row r="18">
      <c r="A18" s="29"/>
      <c r="B18" s="29"/>
      <c r="C18" s="29"/>
      <c r="D18" s="29"/>
      <c r="E18" s="29"/>
      <c r="F18" s="29"/>
      <c r="G18" s="29"/>
    </row>
    <row r="19">
      <c r="A19" s="29"/>
      <c r="B19" s="29"/>
      <c r="C19" s="29"/>
      <c r="D19" s="29"/>
      <c r="E19" s="29"/>
      <c r="F19" s="29"/>
      <c r="G19" s="29"/>
    </row>
    <row r="20">
      <c r="A20" s="29"/>
      <c r="B20" s="29"/>
      <c r="C20" s="29"/>
      <c r="D20" s="29"/>
      <c r="E20" s="29"/>
      <c r="F20" s="29"/>
      <c r="G20" s="29"/>
    </row>
  </sheetData>
  <drawing r:id="rId1"/>
</worksheet>
</file>